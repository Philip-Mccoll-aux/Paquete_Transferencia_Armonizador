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56dee5a4145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5a18c8c6fd0486f"/>
    <x:sheet xmlns:r="http://schemas.openxmlformats.org/officeDocument/2006/relationships" name="POR_SUMINISTRADOR" sheetId="2" r:id="R88bbcecdc6e44e2a"/>
    <x:sheet xmlns:r="http://schemas.openxmlformats.org/officeDocument/2006/relationships" name="ORIGEN" sheetId="3" r:id="Rda00a66227884b90"/>
    <x:sheet xmlns:r="http://schemas.openxmlformats.org/officeDocument/2006/relationships" name="DESTINO" sheetId="4" r:id="Raf7752fdf0cd4aa2"/>
    <x:sheet xmlns:r="http://schemas.openxmlformats.org/officeDocument/2006/relationships" name="MANTENEDOR" sheetId="5" r:id="Rdf53bd8f802e45f0"/>
    <x:sheet xmlns:r="http://schemas.openxmlformats.org/officeDocument/2006/relationships" name="EVIDENCIA_REGLA" sheetId="6" r:id="R440ef62bd3e140f4"/>
    <x:sheet xmlns:r="http://schemas.openxmlformats.org/officeDocument/2006/relationships" name="QA_FUENTES" sheetId="7" r:id="Rd4a8e6e4cca8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00"/>
    <x:numFmt numFmtId="201" formatCode="0.00%"/>
  </x:numFmts>
  <x:fonts count="6">
    <x:font>
      <x:sz val="11"/>
      <x:name val="Carlito"/>
    </x:font>
    <x:font>
      <x:sz val="11"/>
      <x:name val="Calibri"/>
    </x:font>
    <x:font>
      <x:b/>
      <x:sz val="18"/>
      <x:color rgb="FFFFFFFF"/>
      <x:name val="Calibri"/>
    </x:font>
    <x:font>
      <x:sz val="11"/>
      <x:color rgb="FF17364D"/>
      <x:name val="Calibri"/>
    </x:font>
    <x:font>
      <x:b/>
      <x:sz val="11"/>
      <x:color rgb="FFFFFFFF"/>
      <x:name val="Calibri"/>
    </x:font>
    <x:font>
      <x:b/>
      <x:sz val="11"/>
      <x:color rgb="FF17364D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4D"/>
      </x:patternFill>
    </x:fill>
    <x:fill>
      <x:patternFill patternType="solid">
        <x:fgColor rgb="FFE7F4F3"/>
      </x:patternFill>
    </x:fill>
    <x:fill>
      <x:patternFill patternType="solid">
        <x:fgColor rgb="FF087F8C"/>
      </x:patternFill>
    </x:fill>
    <x:fill>
      <x:patternFill patternType="solid">
        <x:fgColor rgb="FFFFF2CC"/>
      </x:patternFill>
    </x:fill>
    <x:fill>
      <x:patternFill patternType="solid">
        <x:fgColor rgb="FFF1F4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1" fillId="0" borderId="0" xfId="0" applyNumberFormat="1" applyFont="1" applyFill="1" applyBorder="1"/>
    <x:xf numFmtId="200" fontId="5" fillId="3" borderId="0" xfId="0" applyNumberFormat="1" applyFont="1" applyFill="1" applyBorder="1"/>
    <x:xf numFmtId="200" fontId="1" fillId="0" borderId="1" xfId="0" applyNumberFormat="1" applyFont="1" applyFill="1" applyBorder="1"/>
    <x:xf numFmtId="200" fontId="5" fillId="3" borderId="1" xfId="0" applyNumberFormat="1" applyFont="1" applyFill="1" applyBorder="1"/>
    <x:xf numFmtId="201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/>
    <x:xf numFmtId="201" fontId="5" fillId="3" borderId="0" xfId="0" applyNumberFormat="1" applyFont="1" applyFill="1" applyBorder="1"/>
    <x:xf numFmtId="201" fontId="1" fillId="0" borderId="1" xfId="0" applyNumberFormat="1" applyFont="1" applyFill="1" applyBorder="1" applyAlignment="1">
      <x:alignment vertical="top"/>
    </x:xf>
    <x:xf numFmtId="201" fontId="1" fillId="0" borderId="1" xfId="0" applyNumberFormat="1" applyFont="1" applyFill="1" applyBorder="1"/>
    <x:xf numFmtId="201" fontId="5" fillId="3" borderId="1" xfId="0" applyNumberFormat="1" applyFont="1" applyFill="1" applyBorder="1"/>
    <x:xf numFmtId="200" fontId="1" fillId="3" borderId="0" xfId="0" applyNumberFormat="1" applyFont="1" applyFill="1" applyBorder="1"/>
    <x:xf numFmtId="200" fontId="1" fillId="3" borderId="1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200" fontId="1" fillId="4" borderId="1" xfId="0" applyNumberFormat="1" applyFont="1" applyFill="1" applyBorder="1"/>
    <x:xf numFmtId="201" fontId="1" fillId="4" borderId="1" xfId="0" applyNumberFormat="1" applyFont="1" applyFill="1" applyBorder="1"/>
    <x:xf numFmtId="200" fontId="4" fillId="4" borderId="1" xfId="0" applyNumberFormat="1" applyFont="1" applyFill="1" applyBorder="1"/>
    <x:xf numFmtId="201" fontId="4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81e8611c94265" /><Relationship Type="http://schemas.openxmlformats.org/officeDocument/2006/relationships/theme" Target="/xl/theme/theme1.xml" Id="R16abcec7f3f544a9" /><Relationship Type="http://schemas.openxmlformats.org/officeDocument/2006/relationships/sharedStrings" Target="/xl/sharedStrings.xml" Id="Rb1b6d2a90b0944c2" /><Relationship Type="http://schemas.openxmlformats.org/officeDocument/2006/relationships/worksheet" Target="/xl/worksheets/sheet1.xml" Id="R35a18c8c6fd0486f" /><Relationship Type="http://schemas.openxmlformats.org/officeDocument/2006/relationships/worksheet" Target="/xl/worksheets/sheet2.xml" Id="R88bbcecdc6e44e2a" /><Relationship Type="http://schemas.openxmlformats.org/officeDocument/2006/relationships/worksheet" Target="/xl/worksheets/sheet3.xml" Id="Rda00a66227884b90" /><Relationship Type="http://schemas.openxmlformats.org/officeDocument/2006/relationships/worksheet" Target="/xl/worksheets/sheet4.xml" Id="Raf7752fdf0cd4aa2" /><Relationship Type="http://schemas.openxmlformats.org/officeDocument/2006/relationships/worksheet" Target="/xl/worksheets/sheet5.xml" Id="Rdf53bd8f802e45f0" /><Relationship Type="http://schemas.openxmlformats.org/officeDocument/2006/relationships/worksheet" Target="/xl/worksheets/sheet6.xml" Id="R440ef62bd3e140f4" /><Relationship Type="http://schemas.openxmlformats.org/officeDocument/2006/relationships/worksheet" Target="/xl/worksheets/sheet7.xml" Id="Rd4a8e6e4cca847cb" /></Relationships>
</file>

<file path=xl/tables/table1.xml><?xml version="1.0" encoding="utf-8"?>
<x:table xmlns:x="http://schemas.openxmlformats.org/spreadsheetml/2006/main" id="3" name="SuministrosM" displayName="SuministrosM" ref="A6:H11" headerRowCount="1" totalsRowCount="0" totalsRowShown="0">
  <x:tableColumns count="8">
    <x:tableColumn id="1" name="RUT SUMINISTRADOR"/>
    <x:tableColumn id="2" name="SUMINISTRADOR"/>
    <x:tableColumn id="3" name="CENTELLA · MWh"/>
    <x:tableColumn id="4" name="QUILLOTA · MWh"/>
    <x:tableColumn id="5" name="M · MWh"/>
    <x:tableColumn id="6" name="% DEL GRUPO"/>
    <x:tableColumn id="7" name="FILAS DATA ORIGEN"/>
    <x:tableColumn id="8" name="CONTRO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OrigenPelambres" displayName="OrigenPelambres" ref="A6:N16" headerRowCount="1" totalsRowCount="0" totalsRowShown="0">
  <x:tableColumns count="14">
    <x:tableColumn id="1" name="FILA_DATA_ORIGEN"/>
    <x:tableColumn id="2" name="Clave Año_Mes"/>
    <x:tableColumn id="3" name="BarraInfotecnica"/>
    <x:tableColumn id="4" name="BarraF"/>
    <x:tableColumn id="5" name="IdBarraInfotecnica"/>
    <x:tableColumn id="6" name="Tipo"/>
    <x:tableColumn id="7" name="RzSocCliente"/>
    <x:tableColumn id="8" name="RUTCliente"/>
    <x:tableColumn id="9" name="Distribuidora_Conec"/>
    <x:tableColumn id="10" name="RzSocSuministrador"/>
    <x:tableColumn id="11" name="RUTSuministrador"/>
    <x:tableColumn id="12" name="MWh"/>
    <x:tableColumn id="13" name="RUTDistribuidora"/>
    <x:tableColumn id="14" name="IdPuntoSuministr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DestinoPelambres" displayName="DestinoPelambres" ref="A6:M11" headerRowCount="1" totalsRowCount="0" totalsRowShown="0">
  <x:tableColumns count="13">
    <x:tableColumn id="1" name="Clave Año_Mes"/>
    <x:tableColumn id="2" name="BarraInfotecnica"/>
    <x:tableColumn id="3" name="BarraF"/>
    <x:tableColumn id="4" name="IdBarraInfotecnica"/>
    <x:tableColumn id="5" name="Tipo"/>
    <x:tableColumn id="6" name="RzSocCliente"/>
    <x:tableColumn id="7" name="RUTCliente"/>
    <x:tableColumn id="8" name="Distribuidora_Conec"/>
    <x:tableColumn id="9" name="RzSocSuministrador"/>
    <x:tableColumn id="10" name="RUTSuministrador"/>
    <x:tableColumn id="11" name="MWh"/>
    <x:tableColumn id="12" name="RUTDistribuidora"/>
    <x:tableColumn id="13" name="IdPuntoSuministr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MantenedorPropuesto" displayName="MantenedorPropuesto" ref="A6:J8" headerRowCount="1" totalsRowCount="0" totalsRowShown="0">
  <x:tableColumns count="10">
    <x:tableColumn id="1" name="ID BARRA CONTROL"/>
    <x:tableColumn id="2" name="NOMBRE BARRA CONTROL"/>
    <x:tableColumn id="3" name="ID GRUPO"/>
    <x:tableColumn id="4" name="BarraF ACTUAL EXPERTO"/>
    <x:tableColumn id="5" name="BarraInfotecnica ACTUAL"/>
    <x:tableColumn id="6" name="BarraF PERSISTENTE M"/>
    <x:tableColumn id="7" name="BarraInfotecnica PERSISTENTE M"/>
    <x:tableColumn id="8" name="ID MEDICIÓN M"/>
    <x:tableColumn id="9" name="ESTADO"/>
    <x:tableColumn id="10" name="EVIDENC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ReglaPiloto" displayName="ReglaPiloto" ref="A6:D23" headerRowCount="1" totalsRowCount="0" totalsRowShown="0">
  <x:tableColumns count="4">
    <x:tableColumn id="1" name="CAMPO"/>
    <x:tableColumn id="2" name="VALOR"/>
    <x:tableColumn id="3" name="FUENTE"/>
    <x:tableColumn id="4" name="ALCANCE / OBSERVACIÓ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rolesPiloto" displayName="ControlesPiloto" ref="A6:G23" headerRowCount="1" totalsRowCount="0" totalsRowShown="0">
  <x:tableColumns count="7">
    <x:tableColumn id="1" name="CONTROL"/>
    <x:tableColumn id="2" name="VALOR"/>
    <x:tableColumn id="3" name="RESULTADO"/>
    <x:tableColumn id="4" name="UNIDAD"/>
    <x:tableColumn id="5" name="INTERPRETACIÓN"/>
    <x:tableColumn id="6" name="FUENTE"/>
    <x:tableColumn id="7" name="ALC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79e22faaaa41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e3a3a468214e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1c8391d9734e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2f5e0d98764f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0ec45144aa4f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6344b79ffd464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3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4" hidden="0" customWidth="1"/>
  </x:cols>
  <x:sheetData>
    <x:row r="1" ht="20" customHeight="1">
      <x:c r="A1" s="7" t="str">
        <x:v>Pelambres · noviembre 2025</x:v>
      </x:c>
      <x:c r="B1" s="7"/>
      <x:c r="C1" s="7"/>
      <x:c r="D1" s="7"/>
      <x:c r="E1" s="7"/>
      <x:c r="F1" s="7"/>
      <x:c r="G1" s="7"/>
      <x:c r="H1" s="2"/>
      <x:c r="I1" s="2"/>
      <x:c r="J1" s="2"/>
      <x:c r="K1" s="2"/>
      <x:c r="L1" s="2"/>
      <x:c r="M1" s="2"/>
      <x:c r="N1" s="2"/>
    </x:row>
    <x:row r="2" ht="20" customHeight="1">
      <x:c r="A2" s="7"/>
      <x:c r="B2" s="7"/>
      <x:c r="C2" s="7"/>
      <x:c r="D2" s="7"/>
      <x:c r="E2" s="7"/>
      <x:c r="F2" s="7"/>
      <x:c r="G2" s="7"/>
      <x:c r="H2" s="2"/>
      <x:c r="I2" s="2"/>
      <x:c r="J2" s="2"/>
      <x:c r="K2" s="2"/>
      <x:c r="L2" s="2"/>
      <x:c r="M2" s="2"/>
      <x:c r="N2" s="2"/>
    </x:row>
    <x:row r="3" ht="20" customHeight="1">
      <x:c r="A3" s="15" t="str">
        <x:v>Maqueta concreta de armonización | M persistente = BA S/E QUILLOTA 220KV BP1-1</x:v>
      </x:c>
      <x:c r="B3" s="15"/>
      <x:c r="C3" s="15"/>
      <x:c r="D3" s="15"/>
      <x:c r="E3" s="15"/>
      <x:c r="F3" s="15"/>
      <x:c r="G3" s="15"/>
      <x:c r="H3" s="2"/>
      <x:c r="I3" s="2"/>
      <x:c r="J3" s="2"/>
      <x:c r="K3" s="2"/>
      <x:c r="L3" s="2"/>
      <x:c r="M3" s="2"/>
      <x:c r="N3" s="2"/>
    </x:row>
    <x:row r="4" ht="20" customHeight="1">
      <x:c r="A4" s="15"/>
      <x:c r="B4" s="15"/>
      <x:c r="C4" s="15"/>
      <x:c r="D4" s="15"/>
      <x:c r="E4" s="15"/>
      <x:c r="F4" s="15"/>
      <x:c r="G4" s="15"/>
      <x:c r="H4" s="2"/>
      <x:c r="I4" s="2"/>
      <x:c r="J4" s="2"/>
      <x:c r="K4" s="2"/>
      <x:c r="L4" s="2"/>
      <x:c r="M4" s="2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 t="str">
        <x:v>Grupo ya definido por el experto</x:v>
      </x:c>
      <x:c r="B6" s="2"/>
      <x:c r="C6" s="2" t="str">
        <x:f>EVIDENCIA_REGLA!B10</x:f>
        <x:v>96790240_FAM_001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0" customHeight="1">
      <x:c r="A7" s="2" t="str">
        <x:v>Identidad persistente M / ID</x:v>
      </x:c>
      <x:c r="B7" s="2"/>
      <x:c r="C7" s="2" t="str">
        <x:v>QUILLOTA______220 / 519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0" customHeight="1">
      <x:c r="A8" s="2" t="str">
        <x:v>PC que consultarán ese medidor</x:v>
      </x:c>
      <x:c r="B8" s="2"/>
      <x:c r="C8" s="2" t="str">
        <x:v>Los Piuquenes (1311) y Mauro (1325)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0" customHeight="1">
      <x:c r="A9" s="57" t="str">
        <x:v>10 registros originales → 5 registros por suministrador. Una sola serie de energía para el grupo; no se copia para cada PC. Los Vilos y Quereo no se armonizan con M.</x:v>
      </x:c>
      <x:c r="B9" s="57"/>
      <x:c r="C9" s="57"/>
      <x:c r="D9" s="57"/>
      <x:c r="E9" s="57"/>
      <x:c r="F9" s="57"/>
      <x:c r="G9" s="57"/>
      <x:c r="H9" s="2"/>
      <x:c r="I9" s="2"/>
      <x:c r="J9" s="2"/>
      <x:c r="K9" s="2"/>
      <x:c r="L9" s="2"/>
      <x:c r="M9" s="2"/>
      <x:c r="N9" s="2"/>
    </x:row>
    <x:row r="10" ht="20" customHeight="1">
      <x:c r="A10" s="57"/>
      <x:c r="B10" s="57"/>
      <x:c r="C10" s="57"/>
      <x:c r="D10" s="57"/>
      <x:c r="E10" s="57"/>
      <x:c r="F10" s="57"/>
      <x:c r="G10" s="57"/>
      <x:c r="H10" s="2"/>
      <x:c r="I10" s="2"/>
      <x:c r="J10" s="2"/>
      <x:c r="K10" s="2"/>
      <x:c r="L10" s="2"/>
      <x:c r="M10" s="2"/>
      <x:c r="N10" s="2"/>
    </x:row>
    <x:row r="11" ht="2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34" customHeight="1">
      <x:c r="A12" s="23" t="str">
        <x:v>RUT SUMINISTRADOR</x:v>
      </x:c>
      <x:c r="B12" s="23" t="str">
        <x:v>SUMINISTRADOR</x:v>
      </x:c>
      <x:c r="C12" s="23" t="str">
        <x:v>CENTELLA · MWh</x:v>
      </x:c>
      <x:c r="D12" s="23" t="str">
        <x:v>QUILLOTA · MWh</x:v>
      </x:c>
      <x:c r="E12" s="23" t="str">
        <x:v>M · MWh</x:v>
      </x:c>
      <x:c r="F12" s="23" t="str">
        <x:v>% GRUPO</x:v>
      </x:c>
      <x:c r="G12" s="23" t="str">
        <x:v>CONTROL</x:v>
      </x:c>
      <x:c r="H12" s="2"/>
      <x:c r="I12" s="2"/>
      <x:c r="J12" s="2"/>
      <x:c r="K12" s="2"/>
      <x:c r="L12" s="2"/>
      <x:c r="M12" s="2"/>
      <x:c r="N12" s="2"/>
    </x:row>
    <x:row r="13" ht="38" customHeight="1">
      <x:c r="A13" s="28" t="str">
        <x:f>POR_SUMINISTRADOR!A7</x:f>
        <x:v>94272000-9</x:v>
      </x:c>
      <x:c r="B13" s="30" t="str">
        <x:f>POR_SUMINISTRADOR!B7</x:f>
        <x:v>AES Andes S.A.</x:v>
      </x:c>
      <x:c r="C13" s="32" t="n">
        <x:f>POR_SUMINISTRADOR!C7</x:f>
        <x:v>20449.516607</x:v>
      </x:c>
      <x:c r="D13" s="32" t="n">
        <x:f>POR_SUMINISTRADOR!D7</x:f>
        <x:v>8291.196068</x:v>
      </x:c>
      <x:c r="E13" s="32" t="n">
        <x:f>POR_SUMINISTRADOR!E7</x:f>
        <x:v>28740.712675000002</x:v>
      </x:c>
      <x:c r="F13" s="42" t="n">
        <x:f>POR_SUMINISTRADOR!F7</x:f>
        <x:v>0.22443084962679472</x:v>
      </x:c>
      <x:c r="G13" s="28" t="str">
        <x:f>POR_SUMINISTRADOR!H7</x:f>
        <x:v>OK</x:v>
      </x:c>
      <x:c r="H13" s="2"/>
      <x:c r="I13" s="2"/>
      <x:c r="J13" s="2"/>
      <x:c r="K13" s="2"/>
      <x:c r="L13" s="2"/>
      <x:c r="M13" s="2"/>
      <x:c r="N13" s="2"/>
    </x:row>
    <x:row r="14" ht="38" customHeight="1">
      <x:c r="A14" s="28" t="str">
        <x:f>POR_SUMINISTRADOR!A8</x:f>
        <x:v>76170761-2</x:v>
      </x:c>
      <x:c r="B14" s="30" t="str">
        <x:f>POR_SUMINISTRADOR!B8</x:f>
        <x:v>Alto Maipo SpA</x:v>
      </x:c>
      <x:c r="C14" s="32" t="n">
        <x:f>POR_SUMINISTRADOR!C8</x:f>
        <x:v>46913.596947</x:v>
      </x:c>
      <x:c r="D14" s="32" t="n">
        <x:f>POR_SUMINISTRADOR!D8</x:f>
        <x:v>19020.979307999998</x:v>
      </x:c>
      <x:c r="E14" s="32" t="n">
        <x:f>POR_SUMINISTRADOR!E8</x:f>
        <x:v>65934.57625499999</x:v>
      </x:c>
      <x:c r="F14" s="42" t="n">
        <x:f>POR_SUMINISTRADOR!F8</x:f>
        <x:v>0.5148707735965121</x:v>
      </x:c>
      <x:c r="G14" s="28" t="str">
        <x:f>POR_SUMINISTRADOR!H8</x:f>
        <x:v>OK</x:v>
      </x:c>
      <x:c r="H14" s="2"/>
      <x:c r="I14" s="2"/>
      <x:c r="J14" s="2"/>
      <x:c r="K14" s="2"/>
      <x:c r="L14" s="2"/>
      <x:c r="M14" s="2"/>
      <x:c r="N14" s="2"/>
    </x:row>
    <x:row r="15" ht="38" customHeight="1">
      <x:c r="A15" s="28" t="str">
        <x:f>POR_SUMINISTRADOR!A9</x:f>
        <x:v>76068557-7</x:v>
      </x:c>
      <x:c r="B15" s="30" t="str">
        <x:f>POR_SUMINISTRADOR!B9</x:f>
        <x:v>Parque Eólico El Arrayán SpA</x:v>
      </x:c>
      <x:c r="C15" s="32" t="n">
        <x:f>POR_SUMINISTRADOR!C9</x:f>
        <x:v>3137.102935</x:v>
      </x:c>
      <x:c r="D15" s="32" t="n">
        <x:f>POR_SUMINISTRADOR!D9</x:f>
        <x:v>1448.5192379999999</x:v>
      </x:c>
      <x:c r="E15" s="32" t="n">
        <x:f>POR_SUMINISTRADOR!E9</x:f>
        <x:v>4585.622173</x:v>
      </x:c>
      <x:c r="F15" s="42" t="n">
        <x:f>POR_SUMINISTRADOR!F9</x:f>
        <x:v>0.03580826585587995</x:v>
      </x:c>
      <x:c r="G15" s="28" t="str">
        <x:f>POR_SUMINISTRADOR!H9</x:f>
        <x:v>OK</x:v>
      </x:c>
      <x:c r="H15" s="2"/>
      <x:c r="I15" s="2"/>
      <x:c r="J15" s="2"/>
      <x:c r="K15" s="2"/>
      <x:c r="L15" s="2"/>
      <x:c r="M15" s="2"/>
      <x:c r="N15" s="2"/>
    </x:row>
    <x:row r="16" ht="38" customHeight="1">
      <x:c r="A16" s="28" t="str">
        <x:f>POR_SUMINISTRADOR!A10</x:f>
        <x:v>76376829-5</x:v>
      </x:c>
      <x:c r="B16" s="30" t="str">
        <x:f>POR_SUMINISTRADOR!B10</x:f>
        <x:v>Conejo Solar SpA</x:v>
      </x:c>
      <x:c r="C16" s="32" t="n">
        <x:f>POR_SUMINISTRADOR!C10</x:f>
        <x:v>11128.030623</x:v>
      </x:c>
      <x:c r="D16" s="32" t="n">
        <x:f>POR_SUMINISTRADOR!D10</x:f>
        <x:v>4968.209031</x:v>
      </x:c>
      <x:c r="E16" s="32" t="n">
        <x:f>POR_SUMINISTRADOR!E10</x:f>
        <x:v>16096.239654</x:v>
      </x:c>
      <x:c r="F16" s="42" t="n">
        <x:f>POR_SUMINISTRADOR!F10</x:f>
        <x:v>0.12569252482336798</x:v>
      </x:c>
      <x:c r="G16" s="28" t="str">
        <x:f>POR_SUMINISTRADOR!H10</x:f>
        <x:v>OK</x:v>
      </x:c>
      <x:c r="H16" s="2"/>
      <x:c r="I16" s="2"/>
      <x:c r="J16" s="2"/>
      <x:c r="K16" s="2"/>
      <x:c r="L16" s="2"/>
      <x:c r="M16" s="2"/>
      <x:c r="N16" s="2"/>
    </x:row>
    <x:row r="17" ht="38" customHeight="1">
      <x:c r="A17" s="28" t="str">
        <x:f>POR_SUMINISTRADOR!A11</x:f>
        <x:v>76376635-7</x:v>
      </x:c>
      <x:c r="B17" s="30" t="str">
        <x:f>POR_SUMINISTRADOR!B11</x:f>
        <x:v>Javiera SpA</x:v>
      </x:c>
      <x:c r="C17" s="32" t="n">
        <x:f>POR_SUMINISTRADOR!C11</x:f>
        <x:v>9923.870004</x:v>
      </x:c>
      <x:c r="D17" s="32" t="n">
        <x:f>POR_SUMINISTRADOR!D11</x:f>
        <x:v>2779.416219</x:v>
      </x:c>
      <x:c r="E17" s="32" t="n">
        <x:f>POR_SUMINISTRADOR!E11</x:f>
        <x:v>12703.286223000001</x:v>
      </x:c>
      <x:c r="F17" s="42" t="n">
        <x:f>POR_SUMINISTRADOR!F11</x:f>
        <x:v>0.09919758609744517</x:v>
      </x:c>
      <x:c r="G17" s="28" t="str">
        <x:f>POR_SUMINISTRADOR!H11</x:f>
        <x:v>OK</x:v>
      </x:c>
      <x:c r="H17" s="2"/>
      <x:c r="I17" s="2"/>
      <x:c r="J17" s="2"/>
      <x:c r="K17" s="2"/>
      <x:c r="L17" s="2"/>
      <x:c r="M17" s="2"/>
      <x:c r="N17" s="2"/>
    </x:row>
    <x:row r="18" ht="20" customHeight="1">
      <x:c r="A18" s="2"/>
      <x:c r="B18" s="2"/>
      <x:c r="C18" s="38"/>
      <x:c r="D18" s="38"/>
      <x:c r="E18" s="38"/>
      <x:c r="F18" s="43"/>
      <x:c r="G18" s="2"/>
      <x:c r="H18" s="2"/>
      <x:c r="I18" s="2"/>
      <x:c r="J18" s="2"/>
      <x:c r="K18" s="2"/>
      <x:c r="L18" s="2"/>
      <x:c r="M18" s="2"/>
      <x:c r="N18" s="2"/>
    </x:row>
    <x:row r="19" ht="29" customHeight="1">
      <x:c r="A19" s="21"/>
      <x:c r="B19" s="21" t="str">
        <x:v>TOTAL DEL GRUPO</x:v>
      </x:c>
      <x:c r="C19" s="62" t="n">
        <x:f>SUM(C13:C17)</x:f>
        <x:v>91552.117116</x:v>
      </x:c>
      <x:c r="D19" s="62" t="n">
        <x:f>SUM(D13:D17)</x:f>
        <x:v>36508.319864</x:v>
      </x:c>
      <x:c r="E19" s="62" t="n">
        <x:f>SUM(E13:E17)</x:f>
        <x:v>128060.43698</x:v>
      </x:c>
      <x:c r="F19" s="63" t="n">
        <x:f>SUM(F13:F17)</x:f>
        <x:v>1</x:v>
      </x:c>
      <x:c r="G19" s="21" t="str">
        <x:f>IF(ABS(E19-EVIDENCIA_REGLA!B17)&lt;=EVIDENCIA_REGLA!B18,"OK","REVISAR")</x:f>
        <x:v>OK</x:v>
      </x:c>
      <x:c r="H19" s="2"/>
      <x:c r="I19" s="2"/>
      <x:c r="J19" s="2"/>
      <x:c r="K19" s="2"/>
      <x:c r="L19" s="2"/>
      <x:c r="M19" s="2"/>
      <x:c r="N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0" customHeight="1">
      <x:c r="A22" s="68" t="str">
        <x:v>Lo confirmado y lo pendiente</x:v>
      </x:c>
      <x:c r="B22" s="68"/>
      <x:c r="C22" s="68"/>
      <x:c r="D22" s="68"/>
      <x:c r="E22" s="68"/>
      <x:c r="F22" s="68"/>
      <x:c r="G22" s="68"/>
      <x:c r="H22" s="2"/>
      <x:c r="I22" s="2"/>
      <x:c r="J22" s="2"/>
      <x:c r="K22" s="2"/>
      <x:c r="L22" s="2"/>
      <x:c r="M22" s="2"/>
      <x:c r="N22" s="2"/>
    </x:row>
    <x:row r="23" ht="20" customHeight="1">
      <x:c r="A23" s="72" t="str">
        <x:v>CONFIRMADO · ID_GRUPO e ID_VECTOR compartidos por Los Piuquenes y Mauro. LT_GRUPOS_ENERGIA publica directamente la composición de 2511.</x:v>
      </x:c>
      <x:c r="B23" s="72"/>
      <x:c r="C23" s="72"/>
      <x:c r="D23" s="72"/>
      <x:c r="E23" s="72"/>
      <x:c r="F23" s="72"/>
      <x:c r="G23" s="72"/>
      <x:c r="H23" s="2"/>
      <x:c r="I23" s="2"/>
      <x:c r="J23" s="2"/>
      <x:c r="K23" s="2"/>
      <x:c r="L23" s="2"/>
      <x:c r="M23" s="2"/>
      <x:c r="N23" s="2"/>
    </x:row>
    <x:row r="24" ht="20" customHeight="1">
      <x:c r="A24" s="72"/>
      <x:c r="B24" s="72"/>
      <x:c r="C24" s="72"/>
      <x:c r="D24" s="72"/>
      <x:c r="E24" s="72"/>
      <x:c r="F24" s="72"/>
      <x:c r="G24" s="72"/>
      <x:c r="H24" s="2"/>
      <x:c r="I24" s="2"/>
      <x:c r="J24" s="2"/>
      <x:c r="K24" s="2"/>
      <x:c r="L24" s="2"/>
      <x:c r="M24" s="2"/>
      <x:c r="N24" s="2"/>
    </x:row>
    <x:row r="25" ht="20" customHeight="1">
      <x:c r="A25" s="78" t="str">
        <x:v>ADOPTADO PARA EL PILOTO · M = BA S/E QUILLOTA 220KV BP1-1; BarraF QUILLOTA______220; ID 519, observado en el balance.</x:v>
      </x:c>
      <x:c r="B25" s="78"/>
      <x:c r="C25" s="78"/>
      <x:c r="D25" s="78"/>
      <x:c r="E25" s="78"/>
      <x:c r="F25" s="78"/>
      <x:c r="G25" s="78"/>
      <x:c r="H25" s="2"/>
      <x:c r="I25" s="2"/>
      <x:c r="J25" s="2"/>
      <x:c r="K25" s="2"/>
      <x:c r="L25" s="2"/>
      <x:c r="M25" s="2"/>
      <x:c r="N25" s="2"/>
    </x:row>
    <x:row r="26" ht="20" customHeight="1">
      <x:c r="A26" s="78"/>
      <x:c r="B26" s="78"/>
      <x:c r="C26" s="78"/>
      <x:c r="D26" s="78"/>
      <x:c r="E26" s="78"/>
      <x:c r="F26" s="78"/>
      <x:c r="G26" s="78"/>
      <x:c r="H26" s="2"/>
      <x:c r="I26" s="2"/>
      <x:c r="J26" s="2"/>
      <x:c r="K26" s="2"/>
      <x:c r="L26" s="2"/>
      <x:c r="M26" s="2"/>
      <x:c r="N26" s="2"/>
    </x:row>
    <x:row r="27" ht="20" customHeight="1">
      <x:c r="A27" s="72" t="str">
        <x:v>PENDIENTE · El experto aún exporta Centella para Piuquenes y TOFF.Mauro para Mauro. Añadir la identidad persistente de consulta a nivel grupo.</x:v>
      </x:c>
      <x:c r="B27" s="72"/>
      <x:c r="C27" s="72"/>
      <x:c r="D27" s="72"/>
      <x:c r="E27" s="72"/>
      <x:c r="F27" s="72"/>
      <x:c r="G27" s="72"/>
      <x:c r="H27" s="2"/>
      <x:c r="I27" s="2"/>
      <x:c r="J27" s="2"/>
      <x:c r="K27" s="2"/>
      <x:c r="L27" s="2"/>
      <x:c r="M27" s="2"/>
      <x:c r="N27" s="2"/>
    </x:row>
    <x:row r="28" ht="20" customHeight="1">
      <x:c r="A28" s="72"/>
      <x:c r="B28" s="72"/>
      <x:c r="C28" s="72"/>
      <x:c r="D28" s="72"/>
      <x:c r="E28" s="72"/>
      <x:c r="F28" s="72"/>
      <x:c r="G28" s="72"/>
      <x:c r="H28" s="2"/>
      <x:c r="I28" s="2"/>
      <x:c r="J28" s="2"/>
      <x:c r="K28" s="2"/>
      <x:c r="L28" s="2"/>
      <x:c r="M28" s="2"/>
      <x:c r="N28" s="2"/>
    </x:row>
    <x:row r="29" ht="20" customHeight="1">
      <x:c r="A29" s="78" t="str">
        <x:v>MANTENEDOR · Ambos PC deben apuntar a M para esta consulta compartida. La propuesta no se ha cargado ni aplicado a la plataforma.</x:v>
      </x:c>
      <x:c r="B29" s="78"/>
      <x:c r="C29" s="78"/>
      <x:c r="D29" s="78"/>
      <x:c r="E29" s="78"/>
      <x:c r="F29" s="78"/>
      <x:c r="G29" s="78"/>
      <x:c r="H29" s="2"/>
      <x:c r="I29" s="2"/>
      <x:c r="J29" s="2"/>
      <x:c r="K29" s="2"/>
      <x:c r="L29" s="2"/>
      <x:c r="M29" s="2"/>
      <x:c r="N29" s="2"/>
    </x:row>
    <x:row r="30" ht="20" customHeight="1">
      <x:c r="A30" s="78"/>
      <x:c r="B30" s="78"/>
      <x:c r="C30" s="78"/>
      <x:c r="D30" s="78"/>
      <x:c r="E30" s="78"/>
      <x:c r="F30" s="78"/>
      <x:c r="G30" s="78"/>
      <x:c r="H30" s="2"/>
      <x:c r="I30" s="2"/>
      <x:c r="J30" s="2"/>
      <x:c r="K30" s="2"/>
      <x:c r="L30" s="2"/>
      <x:c r="M30" s="2"/>
      <x:c r="N30" s="2"/>
    </x:row>
    <x:row r="31" ht="20" customHeight="1">
      <x:c r="A31" s="72" t="str">
        <x:v>ALCANCE · Archivo de ensayo. El formato DATA se conserva y no se añade BARRA CONTROL. No se recalculó ni modificó el Sistema Experto.</x:v>
      </x:c>
      <x:c r="B31" s="72"/>
      <x:c r="C31" s="72"/>
      <x:c r="D31" s="72"/>
      <x:c r="E31" s="72"/>
      <x:c r="F31" s="72"/>
      <x:c r="G31" s="72"/>
      <x:c r="H31" s="2"/>
      <x:c r="I31" s="2"/>
      <x:c r="J31" s="2"/>
      <x:c r="K31" s="2"/>
      <x:c r="L31" s="2"/>
      <x:c r="M31" s="2"/>
      <x:c r="N31" s="2"/>
    </x:row>
    <x:row r="32" ht="20" customHeight="1">
      <x:c r="A32" s="72"/>
      <x:c r="B32" s="72"/>
      <x:c r="C32" s="72"/>
      <x:c r="D32" s="72"/>
      <x:c r="E32" s="72"/>
      <x:c r="F32" s="72"/>
      <x:c r="G32" s="72"/>
      <x:c r="H32" s="2"/>
      <x:c r="I32" s="2"/>
      <x:c r="J32" s="2"/>
      <x:c r="K32" s="2"/>
      <x:c r="L32" s="2"/>
      <x:c r="M32" s="2"/>
      <x:c r="N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5" customHeight="1">
      <x:c r="A34" s="57" t="str">
        <x:v>Cómo leer el libro: RESUMEN → POR_SUMINISTRADOR → ORIGEN / DESTINO. MANTENEDOR documenta la relación PC–M; EVIDENCIA_REGLA y QA_FUENTES dejan los respaldos.</x:v>
      </x:c>
      <x:c r="B34" s="57"/>
      <x:c r="C34" s="57"/>
      <x:c r="D34" s="57"/>
      <x:c r="E34" s="57"/>
      <x:c r="F34" s="57"/>
      <x:c r="G34" s="57"/>
      <x:c r="H34" s="2"/>
      <x:c r="I34" s="2"/>
      <x:c r="J34" s="2"/>
      <x:c r="K34" s="2"/>
      <x:c r="L34" s="2"/>
      <x:c r="M34" s="2"/>
      <x:c r="N34" s="2"/>
    </x:row>
    <x:row r="35" ht="25" customHeight="1">
      <x:c r="A35" s="57"/>
      <x:c r="B35" s="57"/>
      <x:c r="C35" s="57"/>
      <x:c r="D35" s="57"/>
      <x:c r="E35" s="57"/>
      <x:c r="F35" s="57"/>
      <x:c r="G35" s="57"/>
      <x:c r="H35" s="2"/>
      <x:c r="I35" s="2"/>
      <x:c r="J35" s="2"/>
      <x:c r="K35" s="2"/>
      <x:c r="L35" s="2"/>
      <x:c r="M35" s="2"/>
      <x:c r="N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G2"/>
    <x:mergeCell ref="A3:G4"/>
    <x:mergeCell ref="A6:B6"/>
    <x:mergeCell ref="C6:G6"/>
    <x:mergeCell ref="A7:B7"/>
    <x:mergeCell ref="C7:G7"/>
    <x:mergeCell ref="A8:B8"/>
    <x:mergeCell ref="C8:G8"/>
    <x:mergeCell ref="A9:G10"/>
    <x:mergeCell ref="A22:G22"/>
    <x:mergeCell ref="A23:G24"/>
    <x:mergeCell ref="A25:G26"/>
    <x:mergeCell ref="A27:G28"/>
    <x:mergeCell ref="A29:G30"/>
    <x:mergeCell ref="A31:G32"/>
    <x:mergeCell ref="A34:G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1" hidden="0" customWidth="1"/>
    <x:col min="4" max="4" width="21" hidden="0" customWidth="1"/>
    <x:col min="5" max="5" width="22" hidden="0" customWidth="1"/>
    <x:col min="6" max="6" width="16" hidden="0" customWidth="1"/>
    <x:col min="7" max="7" width="24" hidden="0" customWidth="1"/>
    <x:col min="8" max="8" width="14" hidden="0" customWidth="1"/>
  </x:cols>
  <x:sheetData>
    <x:row r="1" ht="20" customHeight="1">
      <x:c r="A1" s="7" t="str">
        <x:v>Centella + Quillota → un medidor M</x:v>
      </x:c>
      <x:c r="B1" s="7"/>
      <x:c r="C1" s="7"/>
      <x:c r="D1" s="7"/>
      <x:c r="E1" s="7"/>
      <x:c r="F1" s="7"/>
      <x:c r="G1" s="7"/>
      <x:c r="H1" s="7"/>
      <x:c r="I1" s="2"/>
      <x:c r="J1" s="2"/>
      <x:c r="K1" s="2"/>
      <x:c r="L1" s="2"/>
      <x:c r="M1" s="2"/>
      <x:c r="N1" s="2"/>
    </x:row>
    <x:row r="2" ht="20" customHeight="1">
      <x:c r="A2" s="7"/>
      <x:c r="B2" s="7"/>
      <x:c r="C2" s="7"/>
      <x:c r="D2" s="7"/>
      <x:c r="E2" s="7"/>
      <x:c r="F2" s="7"/>
      <x:c r="G2" s="7"/>
      <x:c r="H2" s="7"/>
      <x:c r="I2" s="2"/>
      <x:c r="J2" s="2"/>
      <x:c r="K2" s="2"/>
      <x:c r="L2" s="2"/>
      <x:c r="M2" s="2"/>
      <x:c r="N2" s="2"/>
    </x:row>
    <x:row r="3" ht="20" customHeight="1">
      <x:c r="A3" s="15" t="str">
        <x:v>La suma se realiza por suministrador. Se publica una vez, aunque el mantenedor tenga dos PC.</x:v>
      </x:c>
      <x:c r="B3" s="15"/>
      <x:c r="C3" s="15"/>
      <x:c r="D3" s="15"/>
      <x:c r="E3" s="15"/>
      <x:c r="F3" s="15"/>
      <x:c r="G3" s="15"/>
      <x:c r="H3" s="15"/>
      <x:c r="I3" s="2"/>
      <x:c r="J3" s="2"/>
      <x:c r="K3" s="2"/>
      <x:c r="L3" s="2"/>
      <x:c r="M3" s="2"/>
      <x:c r="N3" s="2"/>
    </x:row>
    <x:row r="4" ht="20" customHeight="1">
      <x:c r="A4" s="15"/>
      <x:c r="B4" s="15"/>
      <x:c r="C4" s="15"/>
      <x:c r="D4" s="15"/>
      <x:c r="E4" s="15"/>
      <x:c r="F4" s="15"/>
      <x:c r="G4" s="15"/>
      <x:c r="H4" s="15"/>
      <x:c r="I4" s="2"/>
      <x:c r="J4" s="2"/>
      <x:c r="K4" s="2"/>
      <x:c r="L4" s="2"/>
      <x:c r="M4" s="2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23" t="str">
        <x:v>RUT SUMINISTRADOR</x:v>
      </x:c>
      <x:c r="B6" s="23" t="str">
        <x:v>SUMINISTRADOR</x:v>
      </x:c>
      <x:c r="C6" s="23" t="str">
        <x:v>CENTELLA · MWh</x:v>
      </x:c>
      <x:c r="D6" s="23" t="str">
        <x:v>QUILLOTA · MWh</x:v>
      </x:c>
      <x:c r="E6" s="23" t="str">
        <x:v>M · MWh</x:v>
      </x:c>
      <x:c r="F6" s="23" t="str">
        <x:v>% DEL GRUPO</x:v>
      </x:c>
      <x:c r="G6" s="23" t="str">
        <x:v>FILAS DATA ORIGEN</x:v>
      </x:c>
      <x:c r="H6" s="23" t="str">
        <x:v>CONTROL</x:v>
      </x:c>
      <x:c r="I6" s="2"/>
      <x:c r="J6" s="2"/>
      <x:c r="K6" s="2"/>
      <x:c r="L6" s="2"/>
      <x:c r="M6" s="2"/>
      <x:c r="N6" s="2"/>
    </x:row>
    <x:row r="7" ht="34" customHeight="1">
      <x:c r="A7" s="28" t="str">
        <x:v>94272000-9</x:v>
      </x:c>
      <x:c r="B7" s="30" t="str">
        <x:v>AES Andes S.A.</x:v>
      </x:c>
      <x:c r="C7" s="32" t="n">
        <x:f>SUMIFS(ORIGEN!$L$7:$L$16,ORIGEN!$K$7:$K$16,$A7,ORIGEN!$D$7:$D$16,EVIDENCIA_REGLA!$B$15)</x:f>
        <x:v>20449.516607</x:v>
      </x:c>
      <x:c r="D7" s="32" t="n">
        <x:f>SUMIFS(ORIGEN!$L$7:$L$16,ORIGEN!$K$7:$K$16,$A7,ORIGEN!$D$7:$D$16,EVIDENCIA_REGLA!$B$16)</x:f>
        <x:v>8291.196068</x:v>
      </x:c>
      <x:c r="E7" s="32" t="n">
        <x:f>SUM(C7:D7)</x:f>
        <x:v>28740.712675000002</x:v>
      </x:c>
      <x:c r="F7" s="42" t="n">
        <x:f>E7/$E$13</x:f>
        <x:v>0.22443084962679472</x:v>
      </x:c>
      <x:c r="G7" s="28" t="str">
        <x:v>828, 3833</x:v>
      </x:c>
      <x:c r="H7" s="28" t="str">
        <x:f>IF(ABS(E7-SUMIFS(ORIGEN!$L$7:$L$16,ORIGEN!$K$7:$K$16,A7))&lt;=EVIDENCIA_REGLA!$B$18,"OK","REVISAR")</x:f>
        <x:v>OK</x:v>
      </x:c>
      <x:c r="I7" s="2"/>
      <x:c r="J7" s="2"/>
      <x:c r="K7" s="2"/>
      <x:c r="L7" s="2"/>
      <x:c r="M7" s="2"/>
      <x:c r="N7" s="2"/>
    </x:row>
    <x:row r="8" ht="34" customHeight="1">
      <x:c r="A8" s="28" t="str">
        <x:v>76170761-2</x:v>
      </x:c>
      <x:c r="B8" s="30" t="str">
        <x:v>Alto Maipo SpA</x:v>
      </x:c>
      <x:c r="C8" s="32" t="n">
        <x:f>SUMIFS(ORIGEN!$L$7:$L$16,ORIGEN!$K$7:$K$16,$A8,ORIGEN!$D$7:$D$16,EVIDENCIA_REGLA!$B$15)</x:f>
        <x:v>46913.596947</x:v>
      </x:c>
      <x:c r="D8" s="32" t="n">
        <x:f>SUMIFS(ORIGEN!$L$7:$L$16,ORIGEN!$K$7:$K$16,$A8,ORIGEN!$D$7:$D$16,EVIDENCIA_REGLA!$B$16)</x:f>
        <x:v>19020.979307999998</x:v>
      </x:c>
      <x:c r="E8" s="32" t="n">
        <x:f>SUM(C8:D8)</x:f>
        <x:v>65934.57625499999</x:v>
      </x:c>
      <x:c r="F8" s="42" t="n">
        <x:f>E8/$E$13</x:f>
        <x:v>0.5148707735965121</x:v>
      </x:c>
      <x:c r="G8" s="28" t="str">
        <x:v>829, 3834</x:v>
      </x:c>
      <x:c r="H8" s="28" t="str">
        <x:f>IF(ABS(E8-SUMIFS(ORIGEN!$L$7:$L$16,ORIGEN!$K$7:$K$16,A8))&lt;=EVIDENCIA_REGLA!$B$18,"OK","REVISAR")</x:f>
        <x:v>OK</x:v>
      </x:c>
      <x:c r="I8" s="2"/>
      <x:c r="J8" s="2"/>
      <x:c r="K8" s="2"/>
      <x:c r="L8" s="2"/>
      <x:c r="M8" s="2"/>
      <x:c r="N8" s="2"/>
    </x:row>
    <x:row r="9" ht="34" customHeight="1">
      <x:c r="A9" s="28" t="str">
        <x:v>76068557-7</x:v>
      </x:c>
      <x:c r="B9" s="30" t="str">
        <x:v>Parque Eólico El Arrayán SpA</x:v>
      </x:c>
      <x:c r="C9" s="32" t="n">
        <x:f>SUMIFS(ORIGEN!$L$7:$L$16,ORIGEN!$K$7:$K$16,$A9,ORIGEN!$D$7:$D$16,EVIDENCIA_REGLA!$B$15)</x:f>
        <x:v>3137.102935</x:v>
      </x:c>
      <x:c r="D9" s="32" t="n">
        <x:f>SUMIFS(ORIGEN!$L$7:$L$16,ORIGEN!$K$7:$K$16,$A9,ORIGEN!$D$7:$D$16,EVIDENCIA_REGLA!$B$16)</x:f>
        <x:v>1448.5192379999999</x:v>
      </x:c>
      <x:c r="E9" s="32" t="n">
        <x:f>SUM(C9:D9)</x:f>
        <x:v>4585.622173</x:v>
      </x:c>
      <x:c r="F9" s="42" t="n">
        <x:f>E9/$E$13</x:f>
        <x:v>0.03580826585587995</x:v>
      </x:c>
      <x:c r="G9" s="28" t="str">
        <x:v>830, 3835</x:v>
      </x:c>
      <x:c r="H9" s="28" t="str">
        <x:f>IF(ABS(E9-SUMIFS(ORIGEN!$L$7:$L$16,ORIGEN!$K$7:$K$16,A9))&lt;=EVIDENCIA_REGLA!$B$18,"OK","REVISAR")</x:f>
        <x:v>OK</x:v>
      </x:c>
      <x:c r="I9" s="2"/>
      <x:c r="J9" s="2"/>
      <x:c r="K9" s="2"/>
      <x:c r="L9" s="2"/>
      <x:c r="M9" s="2"/>
      <x:c r="N9" s="2"/>
    </x:row>
    <x:row r="10" ht="34" customHeight="1">
      <x:c r="A10" s="28" t="str">
        <x:v>76376829-5</x:v>
      </x:c>
      <x:c r="B10" s="30" t="str">
        <x:v>Conejo Solar SpA</x:v>
      </x:c>
      <x:c r="C10" s="32" t="n">
        <x:f>SUMIFS(ORIGEN!$L$7:$L$16,ORIGEN!$K$7:$K$16,$A10,ORIGEN!$D$7:$D$16,EVIDENCIA_REGLA!$B$15)</x:f>
        <x:v>11128.030623</x:v>
      </x:c>
      <x:c r="D10" s="32" t="n">
        <x:f>SUMIFS(ORIGEN!$L$7:$L$16,ORIGEN!$K$7:$K$16,$A10,ORIGEN!$D$7:$D$16,EVIDENCIA_REGLA!$B$16)</x:f>
        <x:v>4968.209031</x:v>
      </x:c>
      <x:c r="E10" s="32" t="n">
        <x:f>SUM(C10:D10)</x:f>
        <x:v>16096.239654</x:v>
      </x:c>
      <x:c r="F10" s="42" t="n">
        <x:f>E10/$E$13</x:f>
        <x:v>0.12569252482336798</x:v>
      </x:c>
      <x:c r="G10" s="28" t="str">
        <x:v>831, 3836</x:v>
      </x:c>
      <x:c r="H10" s="28" t="str">
        <x:f>IF(ABS(E10-SUMIFS(ORIGEN!$L$7:$L$16,ORIGEN!$K$7:$K$16,A10))&lt;=EVIDENCIA_REGLA!$B$18,"OK","REVISAR")</x:f>
        <x:v>OK</x:v>
      </x:c>
      <x:c r="I10" s="2"/>
      <x:c r="J10" s="2"/>
      <x:c r="K10" s="2"/>
      <x:c r="L10" s="2"/>
      <x:c r="M10" s="2"/>
      <x:c r="N10" s="2"/>
    </x:row>
    <x:row r="11" ht="34" customHeight="1">
      <x:c r="A11" s="28" t="str">
        <x:v>76376635-7</x:v>
      </x:c>
      <x:c r="B11" s="30" t="str">
        <x:v>Javiera SpA</x:v>
      </x:c>
      <x:c r="C11" s="32" t="n">
        <x:f>SUMIFS(ORIGEN!$L$7:$L$16,ORIGEN!$K$7:$K$16,$A11,ORIGEN!$D$7:$D$16,EVIDENCIA_REGLA!$B$15)</x:f>
        <x:v>9923.870004</x:v>
      </x:c>
      <x:c r="D11" s="32" t="n">
        <x:f>SUMIFS(ORIGEN!$L$7:$L$16,ORIGEN!$K$7:$K$16,$A11,ORIGEN!$D$7:$D$16,EVIDENCIA_REGLA!$B$16)</x:f>
        <x:v>2779.416219</x:v>
      </x:c>
      <x:c r="E11" s="32" t="n">
        <x:f>SUM(C11:D11)</x:f>
        <x:v>12703.286223000001</x:v>
      </x:c>
      <x:c r="F11" s="42" t="n">
        <x:f>E11/$E$13</x:f>
        <x:v>0.09919758609744517</x:v>
      </x:c>
      <x:c r="G11" s="28" t="str">
        <x:v>832, 3837</x:v>
      </x:c>
      <x:c r="H11" s="28" t="str">
        <x:f>IF(ABS(E11-SUMIFS(ORIGEN!$L$7:$L$16,ORIGEN!$K$7:$K$16,A11))&lt;=EVIDENCIA_REGLA!$B$18,"OK","REVISAR")</x:f>
        <x:v>OK</x:v>
      </x:c>
      <x:c r="I11" s="2"/>
      <x:c r="J11" s="2"/>
      <x:c r="K11" s="2"/>
      <x:c r="L11" s="2"/>
      <x:c r="M11" s="2"/>
      <x:c r="N11" s="2"/>
    </x:row>
    <x:row r="12" ht="20" customHeight="1">
      <x:c r="A12" s="2"/>
      <x:c r="B12" s="2"/>
      <x:c r="C12" s="38"/>
      <x:c r="D12" s="38"/>
      <x:c r="E12" s="38"/>
      <x:c r="F12" s="43"/>
      <x:c r="G12" s="2"/>
      <x:c r="H12" s="2"/>
      <x:c r="I12" s="2"/>
      <x:c r="J12" s="2"/>
      <x:c r="K12" s="2"/>
      <x:c r="L12" s="2"/>
      <x:c r="M12" s="2"/>
      <x:c r="N12" s="2"/>
    </x:row>
    <x:row r="13" ht="20" customHeight="1">
      <x:c r="A13" s="36"/>
      <x:c r="B13" s="36" t="str">
        <x:v>TOTAL</x:v>
      </x:c>
      <x:c r="C13" s="39" t="n">
        <x:f>SUM(C7:C11)</x:f>
        <x:v>91552.117116</x:v>
      </x:c>
      <x:c r="D13" s="39" t="n">
        <x:f>SUM(D7:D11)</x:f>
        <x:v>36508.319864</x:v>
      </x:c>
      <x:c r="E13" s="39" t="n">
        <x:f>SUM(E7:E11)</x:f>
        <x:v>128060.43698</x:v>
      </x:c>
      <x:c r="F13" s="44" t="n">
        <x:f>SUM(F7:F11)</x:f>
        <x:v>1</x:v>
      </x:c>
      <x:c r="G13" s="36"/>
      <x:c r="H13" s="36"/>
      <x:c r="I13" s="2"/>
      <x:c r="J13" s="2"/>
      <x:c r="K13" s="2"/>
      <x:c r="L13" s="2"/>
      <x:c r="M13" s="2"/>
      <x:c r="N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1979e22faaaa41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0" hidden="0" customWidth="1"/>
    <x:col min="4" max="4" width="24" hidden="0" customWidth="1"/>
    <x:col min="5" max="5" width="15" hidden="0" customWidth="1"/>
    <x:col min="6" max="6" width="12" hidden="0" customWidth="1"/>
    <x:col min="7" max="7" width="32" hidden="0" customWidth="1"/>
    <x:col min="8" max="8" width="16" hidden="0" customWidth="1"/>
    <x:col min="9" max="9" width="20" hidden="0" customWidth="1"/>
    <x:col min="10" max="10" width="34" hidden="0" customWidth="1"/>
    <x:col min="11" max="11" width="16" hidden="0" customWidth="1"/>
    <x:col min="12" max="12" width="19" hidden="0" customWidth="1"/>
    <x:col min="13" max="13" width="17" hidden="0" customWidth="1"/>
    <x:col min="14" max="14" width="20" hidden="0" customWidth="1"/>
  </x:cols>
  <x:sheetData>
    <x:row r="1" ht="20" customHeight="1">
      <x:c r="A1" s="7" t="str">
        <x:v>Pelambres · 10 registros originales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0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0" customHeight="1">
      <x:c r="A3" s="15" t="str">
        <x:v>Noviembre 2025 | Energía y suministradores sin modificar. Coordenadas del balance original.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20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23" t="str">
        <x:v>FILA_DATA_ORIGEN</x:v>
      </x:c>
      <x:c r="B6" s="23" t="str">
        <x:v>Clave Año_Mes</x:v>
      </x:c>
      <x:c r="C6" s="23" t="str">
        <x:v>BarraInfotecnica</x:v>
      </x:c>
      <x:c r="D6" s="23" t="str">
        <x:v>BarraF</x:v>
      </x:c>
      <x:c r="E6" s="23" t="str">
        <x:v>IdBarraInfotecnica</x:v>
      </x:c>
      <x:c r="F6" s="23" t="str">
        <x:v>Tipo</x:v>
      </x:c>
      <x:c r="G6" s="23" t="str">
        <x:v>RzSocCliente</x:v>
      </x:c>
      <x:c r="H6" s="23" t="str">
        <x:v>RUTCliente</x:v>
      </x:c>
      <x:c r="I6" s="23" t="str">
        <x:v>Distribuidora_Conec</x:v>
      </x:c>
      <x:c r="J6" s="23" t="str">
        <x:v>RzSocSuministrador</x:v>
      </x:c>
      <x:c r="K6" s="23" t="str">
        <x:v>RUTSuministrador</x:v>
      </x:c>
      <x:c r="L6" s="23" t="str">
        <x:v>MWh</x:v>
      </x:c>
      <x:c r="M6" s="23" t="str">
        <x:v>RUTDistribuidora</x:v>
      </x:c>
      <x:c r="N6" s="23" t="str">
        <x:v>IdPuntoSuministro</x:v>
      </x:c>
    </x:row>
    <x:row r="7" ht="34" customHeight="1">
      <x:c r="A7" s="28" t="n">
        <x:v>828</x:v>
      </x:c>
      <x:c r="B7" s="28" t="n">
        <x:v>2511</x:v>
      </x:c>
      <x:c r="C7" s="30" t="str">
        <x:v>BA S/E CENTELLA 220kV BP1</x:v>
      </x:c>
      <x:c r="D7" s="30" t="str">
        <x:v>CENTELLA______220</x:v>
      </x:c>
      <x:c r="E7" s="30" t="n">
        <x:v>3914</x:v>
      </x:c>
      <x:c r="F7" s="30" t="str">
        <x:v>LIBRE</x:v>
      </x:c>
      <x:c r="G7" s="30" t="str">
        <x:v>MINERA LOS PELAMBRES</x:v>
      </x:c>
      <x:c r="H7" s="30" t="str">
        <x:v>96790240-3</x:v>
      </x:c>
      <x:c r="I7" s="30" t="str">
        <x:v>Cliente AT</x:v>
      </x:c>
      <x:c r="J7" s="30" t="str">
        <x:v>AES Andes S.A.</x:v>
      </x:c>
      <x:c r="K7" s="28" t="str">
        <x:v>94272000-9</x:v>
      </x:c>
      <x:c r="L7" s="32" t="n">
        <x:v>20449.516607</x:v>
      </x:c>
      <x:c r="M7" s="28" t="str"/>
      <x:c r="N7" s="28" t="str">
        <x:v>S/I</x:v>
      </x:c>
    </x:row>
    <x:row r="8" ht="34" customHeight="1">
      <x:c r="A8" s="28" t="n">
        <x:v>829</x:v>
      </x:c>
      <x:c r="B8" s="28" t="n">
        <x:v>2511</x:v>
      </x:c>
      <x:c r="C8" s="30" t="str">
        <x:v>BA S/E CENTELLA 220kV BP1</x:v>
      </x:c>
      <x:c r="D8" s="30" t="str">
        <x:v>CENTELLA______220</x:v>
      </x:c>
      <x:c r="E8" s="30" t="n">
        <x:v>3914</x:v>
      </x:c>
      <x:c r="F8" s="30" t="str">
        <x:v>LIBRE</x:v>
      </x:c>
      <x:c r="G8" s="30" t="str">
        <x:v>MINERA LOS PELAMBRES</x:v>
      </x:c>
      <x:c r="H8" s="30" t="str">
        <x:v>96790240-3</x:v>
      </x:c>
      <x:c r="I8" s="30" t="str">
        <x:v>Cliente AT</x:v>
      </x:c>
      <x:c r="J8" s="30" t="str">
        <x:v>Alto Maipo SpA</x:v>
      </x:c>
      <x:c r="K8" s="28" t="str">
        <x:v>76170761-2</x:v>
      </x:c>
      <x:c r="L8" s="32" t="n">
        <x:v>46913.596947</x:v>
      </x:c>
      <x:c r="M8" s="28"/>
      <x:c r="N8" s="28" t="str">
        <x:v>S/I</x:v>
      </x:c>
    </x:row>
    <x:row r="9" ht="34" customHeight="1">
      <x:c r="A9" s="28" t="n">
        <x:v>830</x:v>
      </x:c>
      <x:c r="B9" s="28" t="n">
        <x:v>2511</x:v>
      </x:c>
      <x:c r="C9" s="30" t="str">
        <x:v>BA S/E CENTELLA 220kV BP1</x:v>
      </x:c>
      <x:c r="D9" s="30" t="str">
        <x:v>CENTELLA______220</x:v>
      </x:c>
      <x:c r="E9" s="30" t="n">
        <x:v>3914</x:v>
      </x:c>
      <x:c r="F9" s="30" t="str">
        <x:v>LIBRE</x:v>
      </x:c>
      <x:c r="G9" s="30" t="str">
        <x:v>MINERA LOS PELAMBRES</x:v>
      </x:c>
      <x:c r="H9" s="30" t="str">
        <x:v>96790240-3</x:v>
      </x:c>
      <x:c r="I9" s="30" t="str">
        <x:v>Cliente AT</x:v>
      </x:c>
      <x:c r="J9" s="30" t="str">
        <x:v>Parque Eólico El Arrayán SpA</x:v>
      </x:c>
      <x:c r="K9" s="28" t="str">
        <x:v>76068557-7</x:v>
      </x:c>
      <x:c r="L9" s="32" t="n">
        <x:v>3137.102935</x:v>
      </x:c>
      <x:c r="M9" s="28"/>
      <x:c r="N9" s="28" t="str">
        <x:v>S/I</x:v>
      </x:c>
    </x:row>
    <x:row r="10" ht="34" customHeight="1">
      <x:c r="A10" s="28" t="n">
        <x:v>831</x:v>
      </x:c>
      <x:c r="B10" s="28" t="n">
        <x:v>2511</x:v>
      </x:c>
      <x:c r="C10" s="30" t="str">
        <x:v>BA S/E CENTELLA 220kV BP1</x:v>
      </x:c>
      <x:c r="D10" s="30" t="str">
        <x:v>CENTELLA______220</x:v>
      </x:c>
      <x:c r="E10" s="30" t="n">
        <x:v>3914</x:v>
      </x:c>
      <x:c r="F10" s="30" t="str">
        <x:v>LIBRE</x:v>
      </x:c>
      <x:c r="G10" s="30" t="str">
        <x:v>MINERA LOS PELAMBRES</x:v>
      </x:c>
      <x:c r="H10" s="30" t="str">
        <x:v>96790240-3</x:v>
      </x:c>
      <x:c r="I10" s="30" t="str">
        <x:v>Cliente AT</x:v>
      </x:c>
      <x:c r="J10" s="30" t="str">
        <x:v>Conejo Solar SpA</x:v>
      </x:c>
      <x:c r="K10" s="28" t="str">
        <x:v>76376829-5</x:v>
      </x:c>
      <x:c r="L10" s="32" t="n">
        <x:v>11128.030623</x:v>
      </x:c>
      <x:c r="M10" s="28"/>
      <x:c r="N10" s="28" t="str">
        <x:v>S/I</x:v>
      </x:c>
    </x:row>
    <x:row r="11" ht="34" customHeight="1">
      <x:c r="A11" s="28" t="n">
        <x:v>832</x:v>
      </x:c>
      <x:c r="B11" s="28" t="n">
        <x:v>2511</x:v>
      </x:c>
      <x:c r="C11" s="30" t="str">
        <x:v>BA S/E CENTELLA 220kV BP1</x:v>
      </x:c>
      <x:c r="D11" s="30" t="str">
        <x:v>CENTELLA______220</x:v>
      </x:c>
      <x:c r="E11" s="30" t="n">
        <x:v>3914</x:v>
      </x:c>
      <x:c r="F11" s="30" t="str">
        <x:v>LIBRE</x:v>
      </x:c>
      <x:c r="G11" s="30" t="str">
        <x:v>MINERA LOS PELAMBRES</x:v>
      </x:c>
      <x:c r="H11" s="30" t="str">
        <x:v>96790240-3</x:v>
      </x:c>
      <x:c r="I11" s="30" t="str">
        <x:v>Cliente AT</x:v>
      </x:c>
      <x:c r="J11" s="30" t="str">
        <x:v>Javiera SpA</x:v>
      </x:c>
      <x:c r="K11" s="28" t="str">
        <x:v>76376635-7</x:v>
      </x:c>
      <x:c r="L11" s="32" t="n">
        <x:v>9923.870004</x:v>
      </x:c>
      <x:c r="M11" s="28"/>
      <x:c r="N11" s="28" t="str">
        <x:v>S/I</x:v>
      </x:c>
    </x:row>
    <x:row r="12" ht="34" customHeight="1">
      <x:c r="A12" s="28" t="n">
        <x:v>3833</x:v>
      </x:c>
      <x:c r="B12" s="28" t="n">
        <x:v>2511</x:v>
      </x:c>
      <x:c r="C12" s="30" t="str">
        <x:v>BA S/E QUILLOTA 220KV BP1-1</x:v>
      </x:c>
      <x:c r="D12" s="30" t="str">
        <x:v>QUILLOTA______220</x:v>
      </x:c>
      <x:c r="E12" s="30" t="n">
        <x:v>519</x:v>
      </x:c>
      <x:c r="F12" s="30" t="str">
        <x:v>LIBRE</x:v>
      </x:c>
      <x:c r="G12" s="30" t="str">
        <x:v>MINERA LOS PELAMBRES</x:v>
      </x:c>
      <x:c r="H12" s="30" t="str">
        <x:v>96790240-3</x:v>
      </x:c>
      <x:c r="I12" s="30" t="str">
        <x:v>Cliente AT</x:v>
      </x:c>
      <x:c r="J12" s="30" t="str">
        <x:v>AES Andes S.A.</x:v>
      </x:c>
      <x:c r="K12" s="28" t="str">
        <x:v>94272000-9</x:v>
      </x:c>
      <x:c r="L12" s="32" t="n">
        <x:v>8291.196068</x:v>
      </x:c>
      <x:c r="M12" s="28" t="str"/>
      <x:c r="N12" s="28" t="str">
        <x:v>S/I</x:v>
      </x:c>
    </x:row>
    <x:row r="13" ht="34" customHeight="1">
      <x:c r="A13" s="28" t="n">
        <x:v>3834</x:v>
      </x:c>
      <x:c r="B13" s="28" t="n">
        <x:v>2511</x:v>
      </x:c>
      <x:c r="C13" s="30" t="str">
        <x:v>BA S/E QUILLOTA 220KV BP1-1</x:v>
      </x:c>
      <x:c r="D13" s="30" t="str">
        <x:v>QUILLOTA______220</x:v>
      </x:c>
      <x:c r="E13" s="30" t="n">
        <x:v>519</x:v>
      </x:c>
      <x:c r="F13" s="30" t="str">
        <x:v>LIBRE</x:v>
      </x:c>
      <x:c r="G13" s="30" t="str">
        <x:v>MINERA LOS PELAMBRES</x:v>
      </x:c>
      <x:c r="H13" s="30" t="str">
        <x:v>96790240-3</x:v>
      </x:c>
      <x:c r="I13" s="30" t="str">
        <x:v>Cliente AT</x:v>
      </x:c>
      <x:c r="J13" s="30" t="str">
        <x:v>Alto Maipo SpA</x:v>
      </x:c>
      <x:c r="K13" s="28" t="str">
        <x:v>76170761-2</x:v>
      </x:c>
      <x:c r="L13" s="32" t="n">
        <x:v>19020.979307999998</x:v>
      </x:c>
      <x:c r="M13" s="28"/>
      <x:c r="N13" s="28" t="str">
        <x:v>S/I</x:v>
      </x:c>
    </x:row>
    <x:row r="14" ht="34" customHeight="1">
      <x:c r="A14" s="28" t="n">
        <x:v>3835</x:v>
      </x:c>
      <x:c r="B14" s="28" t="n">
        <x:v>2511</x:v>
      </x:c>
      <x:c r="C14" s="30" t="str">
        <x:v>BA S/E QUILLOTA 220KV BP1-1</x:v>
      </x:c>
      <x:c r="D14" s="30" t="str">
        <x:v>QUILLOTA______220</x:v>
      </x:c>
      <x:c r="E14" s="30" t="n">
        <x:v>519</x:v>
      </x:c>
      <x:c r="F14" s="30" t="str">
        <x:v>LIBRE</x:v>
      </x:c>
      <x:c r="G14" s="30" t="str">
        <x:v>MINERA LOS PELAMBRES</x:v>
      </x:c>
      <x:c r="H14" s="30" t="str">
        <x:v>96790240-3</x:v>
      </x:c>
      <x:c r="I14" s="30" t="str">
        <x:v>Cliente AT</x:v>
      </x:c>
      <x:c r="J14" s="30" t="str">
        <x:v>Parque Eólico El Arrayán SpA</x:v>
      </x:c>
      <x:c r="K14" s="28" t="str">
        <x:v>76068557-7</x:v>
      </x:c>
      <x:c r="L14" s="32" t="n">
        <x:v>1448.5192379999999</x:v>
      </x:c>
      <x:c r="M14" s="28"/>
      <x:c r="N14" s="28" t="str">
        <x:v>S/I</x:v>
      </x:c>
    </x:row>
    <x:row r="15" ht="34" customHeight="1">
      <x:c r="A15" s="28" t="n">
        <x:v>3836</x:v>
      </x:c>
      <x:c r="B15" s="28" t="n">
        <x:v>2511</x:v>
      </x:c>
      <x:c r="C15" s="30" t="str">
        <x:v>BA S/E QUILLOTA 220KV BP1-1</x:v>
      </x:c>
      <x:c r="D15" s="30" t="str">
        <x:v>QUILLOTA______220</x:v>
      </x:c>
      <x:c r="E15" s="30" t="n">
        <x:v>519</x:v>
      </x:c>
      <x:c r="F15" s="30" t="str">
        <x:v>LIBRE</x:v>
      </x:c>
      <x:c r="G15" s="30" t="str">
        <x:v>MINERA LOS PELAMBRES</x:v>
      </x:c>
      <x:c r="H15" s="30" t="str">
        <x:v>96790240-3</x:v>
      </x:c>
      <x:c r="I15" s="30" t="str">
        <x:v>Cliente AT</x:v>
      </x:c>
      <x:c r="J15" s="30" t="str">
        <x:v>Conejo Solar SpA</x:v>
      </x:c>
      <x:c r="K15" s="28" t="str">
        <x:v>76376829-5</x:v>
      </x:c>
      <x:c r="L15" s="32" t="n">
        <x:v>4968.209031</x:v>
      </x:c>
      <x:c r="M15" s="28"/>
      <x:c r="N15" s="28" t="str">
        <x:v>S/I</x:v>
      </x:c>
    </x:row>
    <x:row r="16" ht="34" customHeight="1">
      <x:c r="A16" s="28" t="n">
        <x:v>3837</x:v>
      </x:c>
      <x:c r="B16" s="28" t="n">
        <x:v>2511</x:v>
      </x:c>
      <x:c r="C16" s="30" t="str">
        <x:v>BA S/E QUILLOTA 220KV BP1-1</x:v>
      </x:c>
      <x:c r="D16" s="30" t="str">
        <x:v>QUILLOTA______220</x:v>
      </x:c>
      <x:c r="E16" s="30" t="n">
        <x:v>519</x:v>
      </x:c>
      <x:c r="F16" s="30" t="str">
        <x:v>LIBRE</x:v>
      </x:c>
      <x:c r="G16" s="30" t="str">
        <x:v>MINERA LOS PELAMBRES</x:v>
      </x:c>
      <x:c r="H16" s="30" t="str">
        <x:v>96790240-3</x:v>
      </x:c>
      <x:c r="I16" s="30" t="str">
        <x:v>Cliente AT</x:v>
      </x:c>
      <x:c r="J16" s="30" t="str">
        <x:v>Javiera SpA</x:v>
      </x:c>
      <x:c r="K16" s="28" t="str">
        <x:v>76376635-7</x:v>
      </x:c>
      <x:c r="L16" s="32" t="n">
        <x:v>2779.416219</x:v>
      </x:c>
      <x:c r="M16" s="28"/>
      <x:c r="N16" s="28" t="str">
        <x:v>S/I</x:v>
      </x:c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N2"/>
    <x:mergeCell ref="A3:N4"/>
  </x:mergeCells>
  <x:pageMargins left="0.7" right="0.7" top="0.75" bottom="0.75" header="0.3" footer="0.3"/>
  <x:tableParts count="1">
    <x:tablePart xmlns:r="http://schemas.openxmlformats.org/officeDocument/2006/relationships" r:id="R05e3a3a468214e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4" hidden="0" customWidth="1"/>
    <x:col min="4" max="4" width="15" hidden="0" customWidth="1"/>
    <x:col min="5" max="5" width="12" hidden="0" customWidth="1"/>
    <x:col min="6" max="6" width="32" hidden="0" customWidth="1"/>
    <x:col min="7" max="7" width="16" hidden="0" customWidth="1"/>
    <x:col min="8" max="8" width="20" hidden="0" customWidth="1"/>
    <x:col min="9" max="9" width="34" hidden="0" customWidth="1"/>
    <x:col min="10" max="10" width="16" hidden="0" customWidth="1"/>
    <x:col min="11" max="11" width="21" hidden="0" customWidth="1"/>
    <x:col min="12" max="12" width="18" hidden="0" customWidth="1"/>
    <x:col min="13" max="13" width="20" hidden="0" customWidth="1"/>
  </x:cols>
  <x:sheetData>
    <x:row r="1" ht="20" customHeight="1">
      <x:c r="A1" s="7" t="str">
        <x:v>Pelambres · 5 registros armonizados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2"/>
    </x:row>
    <x:row r="2" ht="20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2"/>
    </x:row>
    <x:row r="3" ht="20" customHeight="1">
      <x:c r="A3" s="15" t="str">
        <x:v>Sólo medidor + cliente + suministrador. Sin columna Barra Control y sin repetición por PC.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2"/>
    </x:row>
    <x:row r="4" ht="20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23" t="str">
        <x:v>Clave Año_Mes</x:v>
      </x:c>
      <x:c r="B6" s="23" t="str">
        <x:v>BarraInfotecnica</x:v>
      </x:c>
      <x:c r="C6" s="23" t="str">
        <x:v>BarraF</x:v>
      </x:c>
      <x:c r="D6" s="23" t="str">
        <x:v>IdBarraInfotecnica</x:v>
      </x:c>
      <x:c r="E6" s="23" t="str">
        <x:v>Tipo</x:v>
      </x:c>
      <x:c r="F6" s="23" t="str">
        <x:v>RzSocCliente</x:v>
      </x:c>
      <x:c r="G6" s="23" t="str">
        <x:v>RUTCliente</x:v>
      </x:c>
      <x:c r="H6" s="23" t="str">
        <x:v>Distribuidora_Conec</x:v>
      </x:c>
      <x:c r="I6" s="23" t="str">
        <x:v>RzSocSuministrador</x:v>
      </x:c>
      <x:c r="J6" s="23" t="str">
        <x:v>RUTSuministrador</x:v>
      </x:c>
      <x:c r="K6" s="23" t="str">
        <x:v>MWh</x:v>
      </x:c>
      <x:c r="L6" s="23" t="str">
        <x:v>RUTDistribuidora</x:v>
      </x:c>
      <x:c r="M6" s="23" t="str">
        <x:v>IdPuntoSuministro</x:v>
      </x:c>
      <x:c r="N6" s="2"/>
    </x:row>
    <x:row r="7" ht="36" customHeight="1">
      <x:c r="A7" s="28" t="n">
        <x:v>2511</x:v>
      </x:c>
      <x:c r="B7" s="30" t="str">
        <x:v>BA S/E QUILLOTA 220KV BP1-1</x:v>
      </x:c>
      <x:c r="C7" s="30" t="str">
        <x:v>QUILLOTA______220</x:v>
      </x:c>
      <x:c r="D7" s="30" t="n">
        <x:v>519</x:v>
      </x:c>
      <x:c r="E7" s="30" t="str">
        <x:v>LIBRE</x:v>
      </x:c>
      <x:c r="F7" s="30" t="str">
        <x:v>MINERA LOS PELAMBRES</x:v>
      </x:c>
      <x:c r="G7" s="30" t="str">
        <x:v>96790240-3</x:v>
      </x:c>
      <x:c r="H7" s="30" t="str">
        <x:v>Cliente AT</x:v>
      </x:c>
      <x:c r="I7" s="30" t="str">
        <x:v>AES Andes S.A.</x:v>
      </x:c>
      <x:c r="J7" s="28" t="str">
        <x:v>94272000-9</x:v>
      </x:c>
      <x:c r="K7" s="32" t="n">
        <x:f>POR_SUMINISTRADOR!E7</x:f>
        <x:v>28740.712675000002</x:v>
      </x:c>
      <x:c r="L7" s="28" t="str"/>
      <x:c r="M7" s="28" t="str">
        <x:v>S/I</x:v>
      </x:c>
      <x:c r="N7" s="2"/>
    </x:row>
    <x:row r="8" ht="36" customHeight="1">
      <x:c r="A8" s="28" t="n">
        <x:v>2511</x:v>
      </x:c>
      <x:c r="B8" s="30" t="str">
        <x:v>BA S/E QUILLOTA 220KV BP1-1</x:v>
      </x:c>
      <x:c r="C8" s="30" t="str">
        <x:v>QUILLOTA______220</x:v>
      </x:c>
      <x:c r="D8" s="30" t="n">
        <x:v>519</x:v>
      </x:c>
      <x:c r="E8" s="30" t="str">
        <x:v>LIBRE</x:v>
      </x:c>
      <x:c r="F8" s="30" t="str">
        <x:v>MINERA LOS PELAMBRES</x:v>
      </x:c>
      <x:c r="G8" s="30" t="str">
        <x:v>96790240-3</x:v>
      </x:c>
      <x:c r="H8" s="30" t="str">
        <x:v>Cliente AT</x:v>
      </x:c>
      <x:c r="I8" s="30" t="str">
        <x:v>Alto Maipo SpA</x:v>
      </x:c>
      <x:c r="J8" s="28" t="str">
        <x:v>76170761-2</x:v>
      </x:c>
      <x:c r="K8" s="32" t="n">
        <x:f>POR_SUMINISTRADOR!E8</x:f>
        <x:v>65934.57625499999</x:v>
      </x:c>
      <x:c r="L8" s="28"/>
      <x:c r="M8" s="28" t="str">
        <x:v>S/I</x:v>
      </x:c>
      <x:c r="N8" s="2"/>
    </x:row>
    <x:row r="9" ht="36" customHeight="1">
      <x:c r="A9" s="28" t="n">
        <x:v>2511</x:v>
      </x:c>
      <x:c r="B9" s="30" t="str">
        <x:v>BA S/E QUILLOTA 220KV BP1-1</x:v>
      </x:c>
      <x:c r="C9" s="30" t="str">
        <x:v>QUILLOTA______220</x:v>
      </x:c>
      <x:c r="D9" s="30" t="n">
        <x:v>519</x:v>
      </x:c>
      <x:c r="E9" s="30" t="str">
        <x:v>LIBRE</x:v>
      </x:c>
      <x:c r="F9" s="30" t="str">
        <x:v>MINERA LOS PELAMBRES</x:v>
      </x:c>
      <x:c r="G9" s="30" t="str">
        <x:v>96790240-3</x:v>
      </x:c>
      <x:c r="H9" s="30" t="str">
        <x:v>Cliente AT</x:v>
      </x:c>
      <x:c r="I9" s="30" t="str">
        <x:v>Parque Eólico El Arrayán SpA</x:v>
      </x:c>
      <x:c r="J9" s="28" t="str">
        <x:v>76068557-7</x:v>
      </x:c>
      <x:c r="K9" s="32" t="n">
        <x:f>POR_SUMINISTRADOR!E9</x:f>
        <x:v>4585.622173</x:v>
      </x:c>
      <x:c r="L9" s="28"/>
      <x:c r="M9" s="28" t="str">
        <x:v>S/I</x:v>
      </x:c>
      <x:c r="N9" s="2"/>
    </x:row>
    <x:row r="10" ht="36" customHeight="1">
      <x:c r="A10" s="28" t="n">
        <x:v>2511</x:v>
      </x:c>
      <x:c r="B10" s="30" t="str">
        <x:v>BA S/E QUILLOTA 220KV BP1-1</x:v>
      </x:c>
      <x:c r="C10" s="30" t="str">
        <x:v>QUILLOTA______220</x:v>
      </x:c>
      <x:c r="D10" s="30" t="n">
        <x:v>519</x:v>
      </x:c>
      <x:c r="E10" s="30" t="str">
        <x:v>LIBRE</x:v>
      </x:c>
      <x:c r="F10" s="30" t="str">
        <x:v>MINERA LOS PELAMBRES</x:v>
      </x:c>
      <x:c r="G10" s="30" t="str">
        <x:v>96790240-3</x:v>
      </x:c>
      <x:c r="H10" s="30" t="str">
        <x:v>Cliente AT</x:v>
      </x:c>
      <x:c r="I10" s="30" t="str">
        <x:v>Conejo Solar SpA</x:v>
      </x:c>
      <x:c r="J10" s="28" t="str">
        <x:v>76376829-5</x:v>
      </x:c>
      <x:c r="K10" s="32" t="n">
        <x:f>POR_SUMINISTRADOR!E10</x:f>
        <x:v>16096.239654</x:v>
      </x:c>
      <x:c r="L10" s="28"/>
      <x:c r="M10" s="28" t="str">
        <x:v>S/I</x:v>
      </x:c>
      <x:c r="N10" s="2"/>
    </x:row>
    <x:row r="11" ht="36" customHeight="1">
      <x:c r="A11" s="28" t="n">
        <x:v>2511</x:v>
      </x:c>
      <x:c r="B11" s="30" t="str">
        <x:v>BA S/E QUILLOTA 220KV BP1-1</x:v>
      </x:c>
      <x:c r="C11" s="30" t="str">
        <x:v>QUILLOTA______220</x:v>
      </x:c>
      <x:c r="D11" s="30" t="n">
        <x:v>519</x:v>
      </x:c>
      <x:c r="E11" s="30" t="str">
        <x:v>LIBRE</x:v>
      </x:c>
      <x:c r="F11" s="30" t="str">
        <x:v>MINERA LOS PELAMBRES</x:v>
      </x:c>
      <x:c r="G11" s="30" t="str">
        <x:v>96790240-3</x:v>
      </x:c>
      <x:c r="H11" s="30" t="str">
        <x:v>Cliente AT</x:v>
      </x:c>
      <x:c r="I11" s="30" t="str">
        <x:v>Javiera SpA</x:v>
      </x:c>
      <x:c r="J11" s="28" t="str">
        <x:v>76376635-7</x:v>
      </x:c>
      <x:c r="K11" s="32" t="n">
        <x:f>POR_SUMINISTRADOR!E11</x:f>
        <x:v>12703.286223000001</x:v>
      </x:c>
      <x:c r="L11" s="28"/>
      <x:c r="M11" s="28" t="str">
        <x:v>S/I</x:v>
      </x:c>
      <x:c r="N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36" t="str">
        <x:v>TOTAL MWh</x:v>
      </x:c>
      <x:c r="K13" s="39" t="n">
        <x:f>SUM(K7:K11)</x:f>
        <x:v>128060.43698</x:v>
      </x:c>
      <x:c r="L13" s="2"/>
      <x:c r="M13" s="2"/>
      <x:c r="N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M2"/>
    <x:mergeCell ref="A3:M4"/>
  </x:mergeCells>
  <x:pageMargins left="0.7" right="0.7" top="0.75" bottom="0.75" header="0.3" footer="0.3"/>
  <x:tableParts count="1">
    <x:tablePart xmlns:r="http://schemas.openxmlformats.org/officeDocument/2006/relationships" r:id="R8a1c8391d9734e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28" hidden="0" customWidth="1"/>
    <x:col min="4" max="4" width="26" hidden="0" customWidth="1"/>
    <x:col min="5" max="5" width="38" hidden="0" customWidth="1"/>
    <x:col min="6" max="6" width="26" hidden="0" customWidth="1"/>
    <x:col min="7" max="7" width="40" hidden="0" customWidth="1"/>
    <x:col min="8" max="8" width="17" hidden="0" customWidth="1"/>
    <x:col min="9" max="9" width="28" hidden="0" customWidth="1"/>
    <x:col min="10" max="10" width="48" hidden="0" customWidth="1"/>
  </x:cols>
  <x:sheetData>
    <x:row r="1" ht="20" customHeight="1">
      <x:c r="A1" s="7" t="str">
        <x:v>Dos puntos de control → el mismo medidor M</x:v>
      </x:c>
      <x:c r="B1" s="7"/>
      <x:c r="C1" s="7"/>
      <x:c r="D1" s="7"/>
      <x:c r="E1" s="7"/>
      <x:c r="F1" s="7"/>
      <x:c r="G1" s="7"/>
      <x:c r="H1" s="7"/>
      <x:c r="I1" s="7"/>
      <x:c r="J1" s="7"/>
      <x:c r="K1" s="2"/>
      <x:c r="L1" s="2"/>
      <x:c r="M1" s="2"/>
      <x:c r="N1" s="2"/>
    </x:row>
    <x:row r="2" ht="20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2"/>
      <x:c r="L2" s="2"/>
      <x:c r="M2" s="2"/>
      <x:c r="N2" s="2"/>
    </x:row>
    <x:row r="3" ht="20" customHeight="1">
      <x:c r="A3" s="15" t="str">
        <x:v>Propuesta documental; no aplicada a la plataforma ni al archivo experto. No contiene energía duplicada.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2"/>
      <x:c r="L3" s="2"/>
      <x:c r="M3" s="2"/>
      <x:c r="N3" s="2"/>
    </x:row>
    <x:row r="4" ht="20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2"/>
      <x:c r="L4" s="2"/>
      <x:c r="M4" s="2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23" t="str">
        <x:v>ID BARRA CONTROL</x:v>
      </x:c>
      <x:c r="B6" s="23" t="str">
        <x:v>NOMBRE BARRA CONTROL</x:v>
      </x:c>
      <x:c r="C6" s="23" t="str">
        <x:v>ID GRUPO</x:v>
      </x:c>
      <x:c r="D6" s="23" t="str">
        <x:v>BarraF ACTUAL EXPERTO</x:v>
      </x:c>
      <x:c r="E6" s="23" t="str">
        <x:v>BarraInfotecnica ACTUAL</x:v>
      </x:c>
      <x:c r="F6" s="23" t="str">
        <x:v>BarraF PERSISTENTE M</x:v>
      </x:c>
      <x:c r="G6" s="23" t="str">
        <x:v>BarraInfotecnica PERSISTENTE M</x:v>
      </x:c>
      <x:c r="H6" s="23" t="str">
        <x:v>ID MEDICIÓN M</x:v>
      </x:c>
      <x:c r="I6" s="23" t="str">
        <x:v>ESTADO</x:v>
      </x:c>
      <x:c r="J6" s="23" t="str">
        <x:v>EVIDENCIA</x:v>
      </x:c>
      <x:c r="K6" s="2"/>
      <x:c r="L6" s="2"/>
      <x:c r="M6" s="2"/>
      <x:c r="N6" s="2"/>
    </x:row>
    <x:row r="7" ht="62" customHeight="1">
      <x:c r="A7" s="30" t="str">
        <x:v>1311</x:v>
      </x:c>
      <x:c r="B7" s="30" t="str">
        <x:v>BA S/E LOS PIUQUENES 220KV BP1/ MINERA LOS PELAMBRES</x:v>
      </x:c>
      <x:c r="C7" s="30" t="str">
        <x:v>96790240_FAM_001</x:v>
      </x:c>
      <x:c r="D7" s="30" t="str">
        <x:v>CENTELLA______220</x:v>
      </x:c>
      <x:c r="E7" s="30" t="str">
        <x:v>BA S/E CENTELLA 220kV BP1</x:v>
      </x:c>
      <x:c r="F7" s="30" t="str">
        <x:v>QUILLOTA______220</x:v>
      </x:c>
      <x:c r="G7" s="30" t="str">
        <x:v>BA S/E QUILLOTA 220KV BP1-1</x:v>
      </x:c>
      <x:c r="H7" s="30" t="n">
        <x:v>519</x:v>
      </x:c>
      <x:c r="I7" s="30" t="str">
        <x:v>PROPUESTA_PILOTO_NO_APLICADA</x:v>
      </x:c>
      <x:c r="J7" s="30" t="str">
        <x:v>Resultado_Sistema_Experto_LT_Iteracion_3.xlsx / 01_BASE_LT_PROPUESTA / fila 222</x:v>
      </x:c>
      <x:c r="K7" s="2"/>
      <x:c r="L7" s="2"/>
      <x:c r="M7" s="2"/>
      <x:c r="N7" s="2"/>
    </x:row>
    <x:row r="8" ht="62" customHeight="1">
      <x:c r="A8" s="30" t="str">
        <x:v>1325</x:v>
      </x:c>
      <x:c r="B8" s="30" t="str">
        <x:v>BA S/E MAURO 220KV BP1/ MINERA LOS PELAMBRES</x:v>
      </x:c>
      <x:c r="C8" s="30" t="str">
        <x:v>96790240_FAM_001</x:v>
      </x:c>
      <x:c r="D8" s="30" t="str">
        <x:v>TOFF.MAURO____220</x:v>
      </x:c>
      <x:c r="E8" s="30" t="str">
        <x:v>BA TAP OFF MAURO 220KV BP1</x:v>
      </x:c>
      <x:c r="F8" s="30" t="str">
        <x:v>QUILLOTA______220</x:v>
      </x:c>
      <x:c r="G8" s="30" t="str">
        <x:v>BA S/E QUILLOTA 220KV BP1-1</x:v>
      </x:c>
      <x:c r="H8" s="30" t="n">
        <x:v>519</x:v>
      </x:c>
      <x:c r="I8" s="30" t="str">
        <x:v>PROPUESTA_PILOTO_NO_APLICADA</x:v>
      </x:c>
      <x:c r="J8" s="30" t="str">
        <x:v>Resultado_Sistema_Experto_LT_Iteracion_3.xlsx / 01_BASE_LT_PROPUESTA / fila 224</x:v>
      </x:c>
      <x:c r="K8" s="2"/>
      <x:c r="L8" s="2"/>
      <x:c r="M8" s="2"/>
      <x:c r="N8" s="2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0" customHeight="1">
      <x:c r="A11" s="52" t="str">
        <x:v>El mantenedor asigna Los Piuquenes y Mauro a M. El archivo DATA no incluye BARRA CONTROL; publica la energía de M una sola vez por cliente, mes y suministrador.</x:v>
      </x:c>
      <x:c r="B11" s="52"/>
      <x:c r="C11" s="52"/>
      <x:c r="D11" s="52"/>
      <x:c r="E11" s="52"/>
      <x:c r="F11" s="52"/>
      <x:c r="G11" s="52"/>
      <x:c r="H11" s="52"/>
      <x:c r="I11" s="52"/>
      <x:c r="J11" s="52"/>
      <x:c r="K11" s="2"/>
      <x:c r="L11" s="2"/>
      <x:c r="M11" s="2"/>
      <x:c r="N11" s="2"/>
    </x:row>
    <x:row r="12" ht="20" customHeight="1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2"/>
      <x:c r="L12" s="2"/>
      <x:c r="M12" s="2"/>
      <x:c r="N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J2"/>
    <x:mergeCell ref="A3:J4"/>
    <x:mergeCell ref="A11:J12"/>
  </x:mergeCells>
  <x:pageMargins left="0.7" right="0.7" top="0.75" bottom="0.75" header="0.3" footer="0.3"/>
  <x:tableParts count="1">
    <x:tablePart xmlns:r="http://schemas.openxmlformats.org/officeDocument/2006/relationships" r:id="Rc42f5e0d98764f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65" hidden="0" customWidth="1"/>
  </x:cols>
  <x:sheetData>
    <x:row r="1" ht="20" customHeight="1">
      <x:c r="A1" s="7" t="str">
        <x:v>Regla del piloto y evidencia del experto</x:v>
      </x:c>
      <x:c r="B1" s="7"/>
      <x:c r="C1" s="7"/>
      <x:c r="D1" s="7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0" customHeight="1">
      <x:c r="A2" s="7"/>
      <x:c r="B2" s="7"/>
      <x:c r="C2" s="7"/>
      <x:c r="D2" s="7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0" customHeight="1">
      <x:c r="A3" s="15" t="str">
        <x:v>Grupo explícito. La identidad M se adopta por instrucción del usuario; no se modifica el experto.</x:v>
      </x:c>
      <x:c r="B3" s="15"/>
      <x:c r="C3" s="15"/>
      <x:c r="D3" s="15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0" customHeight="1">
      <x:c r="A4" s="15"/>
      <x:c r="B4" s="15"/>
      <x:c r="C4" s="15"/>
      <x:c r="D4" s="15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23" t="str">
        <x:v>CAMPO</x:v>
      </x:c>
      <x:c r="B6" s="23" t="str">
        <x:v>VALOR</x:v>
      </x:c>
      <x:c r="C6" s="23" t="str">
        <x:v>FUENTE</x:v>
      </x:c>
      <x:c r="D6" s="23" t="str">
        <x:v>ALCANCE / OBSERVACIÓN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6" customHeight="1">
      <x:c r="A7" s="30" t="str">
        <x:v>MES_ENERGIA</x:v>
      </x:c>
      <x:c r="B7" s="30" t="str">
        <x:v>2511</x:v>
      </x:c>
      <x:c r="C7" s="30" t="str">
        <x:v>Balance DATA, columna A</x:v>
      </x:c>
      <x:c r="D7" s="30" t="str">
        <x:v>Mes único de esta prueba.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46" customHeight="1">
      <x:c r="A8" s="30" t="str">
        <x:v>RUT_CLIENTE</x:v>
      </x:c>
      <x:c r="B8" s="30" t="str">
        <x:v>96790240-3</x:v>
      </x:c>
      <x:c r="C8" s="30" t="str">
        <x:v>Sabana_2607(2).xlsx / SABANA</x:v>
      </x:c>
      <x:c r="D8" s="30" t="str">
        <x:v>Coincide con las diez filas del balance.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46" customHeight="1">
      <x:c r="A9" s="30" t="str">
        <x:v>RAZON_SOCIAL</x:v>
      </x:c>
      <x:c r="B9" s="30" t="str">
        <x:v>MINERA LOS PELAMBRES</x:v>
      </x:c>
      <x:c r="C9" s="30" t="str">
        <x:v>Sabana_2607(2).xlsx / SABANA</x:v>
      </x:c>
      <x:c r="D9" s="30" t="str">
        <x:v>Identidad rectora conservada.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6" customHeight="1">
      <x:c r="A10" s="30" t="str">
        <x:v>ID_GRUPO_MEDICION</x:v>
      </x:c>
      <x:c r="B10" s="30" t="str">
        <x:v>96790240_FAM_001</x:v>
      </x:c>
      <x:c r="C10" s="30" t="str">
        <x:v>01_BASE_LT_PROPUESTA!V222 y V224</x:v>
      </x:c>
      <x:c r="D10" s="30" t="str">
        <x:v>Mismo grupo en ambos PC.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46" customHeight="1">
      <x:c r="A11" s="30" t="str">
        <x:v>ID_VECTOR</x:v>
      </x:c>
      <x:c r="B11" s="30" t="str">
        <x:v>GRUPO:28652cb9be6322f4f3a38b50</x:v>
      </x:c>
      <x:c r="C11" s="30" t="str">
        <x:v>POTENCIAS!AR222 y AR224</x:v>
      </x:c>
      <x:c r="D11" s="30" t="str">
        <x:v>Vector compartido; no dos consumos independientes.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46" customHeight="1">
      <x:c r="A12" s="30" t="str">
        <x:v>M_BarraInfotecnica</x:v>
      </x:c>
      <x:c r="B12" s="30" t="str">
        <x:v>BA S/E QUILLOTA 220KV BP1-1</x:v>
      </x:c>
      <x:c r="C12" s="30" t="str">
        <x:v>Instrucción del usuario + DATA!B3833:B3837</x:v>
      </x:c>
      <x:c r="D12" s="30" t="str">
        <x:v>Etiqueta persistente adoptada para este piloto.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46" customHeight="1">
      <x:c r="A13" s="30" t="str">
        <x:v>M_BarraF</x:v>
      </x:c>
      <x:c r="B13" s="30" t="str">
        <x:v>QUILLOTA______220</x:v>
      </x:c>
      <x:c r="C13" s="30" t="str">
        <x:v>DATA!C3833:C3837</x:v>
      </x:c>
      <x:c r="D13" s="30" t="str">
        <x:v>Se reutiliza el código original de Quillota.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46" customHeight="1">
      <x:c r="A14" s="30" t="str">
        <x:v>M_IdBarraInfotecnica</x:v>
      </x:c>
      <x:c r="B14" s="30" t="n">
        <x:v>519</x:v>
      </x:c>
      <x:c r="C14" s="30" t="str">
        <x:v>DATA!D3833:D3837</x:v>
      </x:c>
      <x:c r="D14" s="30" t="str">
        <x:v>519 observado en origen; no inventado ni tomado del PC.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46" customHeight="1">
      <x:c r="A15" s="30" t="str">
        <x:v>BARRAF_ORIGEN_1</x:v>
      </x:c>
      <x:c r="B15" s="30" t="str">
        <x:v>CENTELLA______220</x:v>
      </x:c>
      <x:c r="C15" s="30" t="str">
        <x:v>LT_GRUPOS_ENERGIA!E7867</x:v>
      </x:c>
      <x:c r="D15" s="30" t="str">
        <x:v>Componente noviembre.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46" customHeight="1">
      <x:c r="A16" s="30" t="str">
        <x:v>BARRAF_ORIGEN_2</x:v>
      </x:c>
      <x:c r="B16" s="30" t="str">
        <x:v>QUILLOTA______220</x:v>
      </x:c>
      <x:c r="C16" s="30" t="str">
        <x:v>LT_GRUPOS_ENERGIA!E7867</x:v>
      </x:c>
      <x:c r="D16" s="30" t="str">
        <x:v>Componente noviembre.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46" customHeight="1">
      <x:c r="A17" s="30" t="str">
        <x:v>MWh_GRUPO_EXPERTO</x:v>
      </x:c>
      <x:c r="B17" s="34" t="n">
        <x:v>128060.43698</x:v>
      </x:c>
      <x:c r="C17" s="30" t="str">
        <x:v>LT_GRUPOS_ENERGIA!D7867</x:v>
      </x:c>
      <x:c r="D17" s="30" t="str">
        <x:v>Coincide con el total Centella + Quillota.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46" customHeight="1">
      <x:c r="A18" s="30" t="str">
        <x:v>TOLERANCIA_QA_MWh</x:v>
      </x:c>
      <x:c r="B18" s="34" t="n">
        <x:v>0.000001</x:v>
      </x:c>
      <x:c r="C18" s="30" t="str">
        <x:v>Criterio técnico de comparación del piloto</x:v>
      </x:c>
      <x:c r="D18" s="30" t="str">
        <x:v>No es una tolerancia aprobada del cargador.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46" customHeight="1">
      <x:c r="A19" s="30" t="str">
        <x:v>ATRIBUCION_ORIGINAL</x:v>
      </x:c>
      <x:c r="B19" s="30" t="str">
        <x:v>GRUPO_NO_REPARTIDO</x:v>
      </x:c>
      <x:c r="C19" s="30" t="str">
        <x:v>LT_GRUPOS_ENERGIA!G7867</x:v>
      </x:c>
      <x:c r="D19" s="30" t="str">
        <x:v>Compatible con publicar una serie compartida; no obliga a repartirla.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46" customHeight="1">
      <x:c r="A20" s="30" t="str">
        <x:v>ESTADO_ORIGINAL</x:v>
      </x:c>
      <x:c r="B20" s="30" t="str">
        <x:v>REQUIERE_PRORRATEO_HISTORICO</x:v>
      </x:c>
      <x:c r="C20" s="30" t="str">
        <x:v>POTENCIAS filas 222 y 224</x:v>
      </x:c>
      <x:c r="D20" s="30" t="str">
        <x:v>Se preserva como evidencia; no bloquea esta consulta de grupo autorizada.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46" customHeight="1">
      <x:c r="A21" s="30" t="str">
        <x:v>AUTORIZACION_PILOTO</x:v>
      </x:c>
      <x:c r="B21" s="30" t="str">
        <x:v>MISMA_SERIE_PARA_DOS_PC</x:v>
      </x:c>
      <x:c r="C21" s="30" t="str">
        <x:v>Aclaración expresa del usuario en este chat</x:v>
      </x:c>
      <x:c r="D21" s="30" t="str">
        <x:v>Una sola energía por medidor/RUT/mes/suministrador.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46" customHeight="1">
      <x:c r="A22" s="30" t="str">
        <x:v>PENDIENTE_EXPERTO</x:v>
      </x:c>
      <x:c r="B22" s="30" t="str">
        <x:v>MEDIDOR_PERSISTENTE_POR_GRUPO</x:v>
      </x:c>
      <x:c r="C22" s="30" t="str">
        <x:v>BASE_LT y LT_PC_MEDIDOR asignan Centella y TOFF.Mauro</x:v>
      </x:c>
      <x:c r="D22" s="30" t="str">
        <x:v>Añadir salida de integración M por grupo sin cambiar fuentes históricas.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46" customHeight="1">
      <x:c r="A23" s="30" t="str">
        <x:v>PENDIENTE_PLATAFORMA</x:v>
      </x:c>
      <x:c r="B23" s="30" t="str">
        <x:v>MANTENEDOR_PC_MEDIDOR</x:v>
      </x:c>
      <x:c r="C23" s="30" t="str">
        <x:v>Propuesta en hoja MANTENEDOR</x:v>
      </x:c>
      <x:c r="D23" s="30" t="str">
        <x:v>No se realizó ninguna carga ni cambio de base interna.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D2"/>
    <x:mergeCell ref="A3:D4"/>
  </x:mergeCells>
  <x:pageMargins left="0.7" right="0.7" top="0.75" bottom="0.75" header="0.3" footer="0.3"/>
  <x:tableParts count="1">
    <x:tablePart xmlns:r="http://schemas.openxmlformats.org/officeDocument/2006/relationships" r:id="R7a0ec45144aa4fd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5" hidden="0" customWidth="1"/>
    <x:col min="3" max="3" width="24" hidden="0" customWidth="1"/>
    <x:col min="4" max="4" width="13" hidden="0" customWidth="1"/>
    <x:col min="5" max="5" width="55" hidden="0" customWidth="1"/>
    <x:col min="6" max="6" width="55" hidden="0" customWidth="1"/>
    <x:col min="7" max="7" width="28" hidden="0" customWidth="1"/>
  </x:cols>
  <x:sheetData>
    <x:row r="1" ht="20" customHeight="1">
      <x:c r="A1" s="7" t="str">
        <x:v>Controles y fuentes del piloto</x:v>
      </x:c>
      <x:c r="B1" s="7"/>
      <x:c r="C1" s="7"/>
      <x:c r="D1" s="7"/>
      <x:c r="E1" s="7"/>
      <x:c r="F1" s="7"/>
      <x:c r="G1" s="7"/>
      <x:c r="H1" s="2"/>
      <x:c r="I1" s="2"/>
      <x:c r="J1" s="2"/>
      <x:c r="K1" s="2"/>
      <x:c r="L1" s="2"/>
      <x:c r="M1" s="2"/>
      <x:c r="N1" s="2"/>
    </x:row>
    <x:row r="2" ht="20" customHeight="1">
      <x:c r="A2" s="7"/>
      <x:c r="B2" s="7"/>
      <x:c r="C2" s="7"/>
      <x:c r="D2" s="7"/>
      <x:c r="E2" s="7"/>
      <x:c r="F2" s="7"/>
      <x:c r="G2" s="7"/>
      <x:c r="H2" s="2"/>
      <x:c r="I2" s="2"/>
      <x:c r="J2" s="2"/>
      <x:c r="K2" s="2"/>
      <x:c r="L2" s="2"/>
      <x:c r="M2" s="2"/>
      <x:c r="N2" s="2"/>
    </x:row>
    <x:row r="3" ht="20" customHeight="1">
      <x:c r="A3" s="15" t="str">
        <x:v>No carga oficial. Totales de grupo y total del balance comprobados antes y después.</x:v>
      </x:c>
      <x:c r="B3" s="15"/>
      <x:c r="C3" s="15"/>
      <x:c r="D3" s="15"/>
      <x:c r="E3" s="15"/>
      <x:c r="F3" s="15"/>
      <x:c r="G3" s="15"/>
      <x:c r="H3" s="2"/>
      <x:c r="I3" s="2"/>
      <x:c r="J3" s="2"/>
      <x:c r="K3" s="2"/>
      <x:c r="L3" s="2"/>
      <x:c r="M3" s="2"/>
      <x:c r="N3" s="2"/>
    </x:row>
    <x:row r="4" ht="20" customHeight="1">
      <x:c r="A4" s="15"/>
      <x:c r="B4" s="15"/>
      <x:c r="C4" s="15"/>
      <x:c r="D4" s="15"/>
      <x:c r="E4" s="15"/>
      <x:c r="F4" s="15"/>
      <x:c r="G4" s="15"/>
      <x:c r="H4" s="2"/>
      <x:c r="I4" s="2"/>
      <x:c r="J4" s="2"/>
      <x:c r="K4" s="2"/>
      <x:c r="L4" s="2"/>
      <x:c r="M4" s="2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23" t="str">
        <x:v>CONTROL</x:v>
      </x:c>
      <x:c r="B6" s="23" t="str">
        <x:v>VALOR</x:v>
      </x:c>
      <x:c r="C6" s="23" t="str">
        <x:v>RESULTADO</x:v>
      </x:c>
      <x:c r="D6" s="23" t="str">
        <x:v>UNIDAD</x:v>
      </x:c>
      <x:c r="E6" s="23" t="str">
        <x:v>INTERPRETACIÓN</x:v>
      </x:c>
      <x:c r="F6" s="23" t="str">
        <x:v>FUENTE</x:v>
      </x:c>
      <x:c r="G6" s="23" t="str">
        <x:v>ALCANCE</x:v>
      </x:c>
      <x:c r="H6" s="2"/>
      <x:c r="I6" s="2"/>
      <x:c r="J6" s="2"/>
      <x:c r="K6" s="2"/>
      <x:c r="L6" s="2"/>
      <x:c r="M6" s="2"/>
      <x:c r="N6" s="2"/>
    </x:row>
    <x:row r="7" ht="44" customHeight="1">
      <x:c r="A7" s="30" t="str">
        <x:v>MWh originales del grupo</x:v>
      </x:c>
      <x:c r="B7" s="34" t="n">
        <x:f>SUM(ORIGEN!L7:L16)</x:f>
        <x:v>128060.43698</x:v>
      </x:c>
      <x:c r="C7" s="30" t="str">
        <x:v>CALCULADO / FUENTE</x:v>
      </x:c>
      <x:c r="D7" s="30" t="str">
        <x:v>MWh</x:v>
      </x:c>
      <x:c r="E7" s="30" t="str">
        <x:v>Diez filas en ORIGEN</x:v>
      </x:c>
      <x:c r="F7" s="30" t="str">
        <x:v>DATA!828:832 y 3833:3837</x:v>
      </x:c>
      <x:c r="G7" s="30" t="str">
        <x:v>CONTROL_NUMERICO</x:v>
      </x:c>
      <x:c r="H7" s="2"/>
      <x:c r="I7" s="2"/>
      <x:c r="J7" s="2"/>
      <x:c r="K7" s="2"/>
      <x:c r="L7" s="2"/>
      <x:c r="M7" s="2"/>
      <x:c r="N7" s="2"/>
    </x:row>
    <x:row r="8" ht="44" customHeight="1">
      <x:c r="A8" s="30" t="str">
        <x:v>MWh reconstruidos bajo M</x:v>
      </x:c>
      <x:c r="B8" s="34" t="n">
        <x:f>SUM(DESTINO!K7:K11)</x:f>
        <x:v>128060.43698</x:v>
      </x:c>
      <x:c r="C8" s="30" t="str">
        <x:v>CALCULADO / FUENTE</x:v>
      </x:c>
      <x:c r="D8" s="30" t="str">
        <x:v>MWh</x:v>
      </x:c>
      <x:c r="E8" s="30" t="str">
        <x:v>Cinco filas por suministrador</x:v>
      </x:c>
      <x:c r="F8" s="30" t="str">
        <x:v>DESTINO!K7:K11</x:v>
      </x:c>
      <x:c r="G8" s="30" t="str">
        <x:v>CONTROL_NUMERICO</x:v>
      </x:c>
      <x:c r="H8" s="2"/>
      <x:c r="I8" s="2"/>
      <x:c r="J8" s="2"/>
      <x:c r="K8" s="2"/>
      <x:c r="L8" s="2"/>
      <x:c r="M8" s="2"/>
      <x:c r="N8" s="2"/>
    </x:row>
    <x:row r="9" ht="44" customHeight="1">
      <x:c r="A9" s="30" t="str">
        <x:v>Diferencia grupo salida − origen</x:v>
      </x:c>
      <x:c r="B9" s="34" t="n">
        <x:f>B8-B7</x:f>
        <x:v>0</x:v>
      </x:c>
      <x:c r="C9" s="30" t="str">
        <x:f>IF(ABS(B9)&lt;=EVIDENCIA_REGLA!$B$18,"OK","REVISAR")</x:f>
        <x:v>OK</x:v>
      </x:c>
      <x:c r="D9" s="30" t="str">
        <x:v>MWh</x:v>
      </x:c>
      <x:c r="E9" s="30" t="str">
        <x:v>Debe ser cero dentro de tolerancia de ensayo</x:v>
      </x:c>
      <x:c r="F9" s="30" t="str">
        <x:v>Sin prorrateo ni replicación por PC</x:v>
      </x:c>
      <x:c r="G9" s="30" t="str">
        <x:v>CONTROL_NUMERICO</x:v>
      </x:c>
      <x:c r="H9" s="2"/>
      <x:c r="I9" s="2"/>
      <x:c r="J9" s="2"/>
      <x:c r="K9" s="2"/>
      <x:c r="L9" s="2"/>
      <x:c r="M9" s="2"/>
      <x:c r="N9" s="2"/>
    </x:row>
    <x:row r="10" ht="44" customHeight="1">
      <x:c r="A10" s="30" t="str">
        <x:v>MWh reportados por el experto</x:v>
      </x:c>
      <x:c r="B10" s="34" t="n">
        <x:f>EVIDENCIA_REGLA!B17</x:f>
        <x:v>128060.43698</x:v>
      </x:c>
      <x:c r="C10" s="30" t="str">
        <x:v>CALCULADO / FUENTE</x:v>
      </x:c>
      <x:c r="D10" s="30" t="str">
        <x:v>MWh</x:v>
      </x:c>
      <x:c r="E10" s="30" t="str">
        <x:v>Grupo 96790240_FAM_001, 2511</x:v>
      </x:c>
      <x:c r="F10" s="30" t="str">
        <x:v>LT_GRUPOS_ENERGIA!D7867</x:v>
      </x:c>
      <x:c r="G10" s="30" t="str">
        <x:v>CONTROL_NUMERICO</x:v>
      </x:c>
      <x:c r="H10" s="2"/>
      <x:c r="I10" s="2"/>
      <x:c r="J10" s="2"/>
      <x:c r="K10" s="2"/>
      <x:c r="L10" s="2"/>
      <x:c r="M10" s="2"/>
      <x:c r="N10" s="2"/>
    </x:row>
    <x:row r="11" ht="44" customHeight="1">
      <x:c r="A11" s="30" t="str">
        <x:v>Diferencia vs. experto</x:v>
      </x:c>
      <x:c r="B11" s="34" t="n">
        <x:f>B8-B10</x:f>
        <x:v>0</x:v>
      </x:c>
      <x:c r="C11" s="30" t="str">
        <x:f>IF(ABS(B11)&lt;=EVIDENCIA_REGLA!$B$18,"OK","REVISAR")</x:f>
        <x:v>OK</x:v>
      </x:c>
      <x:c r="D11" s="30" t="str">
        <x:v>MWh</x:v>
      </x:c>
      <x:c r="E11" s="30" t="str">
        <x:v>No sustituye MWh del balance</x:v>
      </x:c>
      <x:c r="F11" s="30" t="str">
        <x:v>Conciliación independiente</x:v>
      </x:c>
      <x:c r="G11" s="30" t="str">
        <x:v>CONTROL_NUMERICO</x:v>
      </x:c>
      <x:c r="H11" s="2"/>
      <x:c r="I11" s="2"/>
      <x:c r="J11" s="2"/>
      <x:c r="K11" s="2"/>
      <x:c r="L11" s="2"/>
      <x:c r="M11" s="2"/>
      <x:c r="N11" s="2"/>
    </x:row>
    <x:row r="12" ht="44" customHeight="1">
      <x:c r="A12" s="30" t="str">
        <x:v>Suministradores destino</x:v>
      </x:c>
      <x:c r="B12" s="30" t="n">
        <x:v>5</x:v>
      </x:c>
      <x:c r="C12" s="30" t="str">
        <x:v>OK</x:v>
      </x:c>
      <x:c r="D12" s="30" t="str">
        <x:v>registros</x:v>
      </x:c>
      <x:c r="E12" s="30" t="str">
        <x:v>5 pares de aportes; no se eliminan proveedores</x:v>
      </x:c>
      <x:c r="F12" s="30" t="str">
        <x:v>POR_SUMINISTRADOR filas 7:11</x:v>
      </x:c>
      <x:c r="G12" s="30" t="str">
        <x:v>COMPROBADO</x:v>
      </x:c>
      <x:c r="H12" s="2"/>
      <x:c r="I12" s="2"/>
      <x:c r="J12" s="2"/>
      <x:c r="K12" s="2"/>
      <x:c r="L12" s="2"/>
      <x:c r="M12" s="2"/>
      <x:c r="N12" s="2"/>
    </x:row>
    <x:row r="13" ht="44" customHeight="1">
      <x:c r="A13" s="30" t="str">
        <x:v>Filas DATA originales</x:v>
      </x:c>
      <x:c r="B13" s="30" t="n">
        <x:v>5163</x:v>
      </x:c>
      <x:c r="C13" s="30" t="str">
        <x:v>OK</x:v>
      </x:c>
      <x:c r="D13" s="30" t="str">
        <x:v>filas</x:v>
      </x:c>
      <x:c r="E13" s="30" t="str">
        <x:v>Todos los clientes</x:v>
      </x:c>
      <x:c r="F13" s="30" t="str">
        <x:v>07_ENS_Mercado_Libre_2511.xlsx</x:v>
      </x:c>
      <x:c r="G13" s="30" t="str">
        <x:v>COMPROBADO</x:v>
      </x:c>
      <x:c r="H13" s="2"/>
      <x:c r="I13" s="2"/>
      <x:c r="J13" s="2"/>
      <x:c r="K13" s="2"/>
      <x:c r="L13" s="2"/>
      <x:c r="M13" s="2"/>
      <x:c r="N13" s="2"/>
    </x:row>
    <x:row r="14" ht="44" customHeight="1">
      <x:c r="A14" s="30" t="str">
        <x:v>Filas DATA armonizado</x:v>
      </x:c>
      <x:c r="B14" s="30" t="n">
        <x:v>5158</x:v>
      </x:c>
      <x:c r="C14" s="30" t="str">
        <x:v>OK_EXPORTADO</x:v>
      </x:c>
      <x:c r="D14" s="30" t="str">
        <x:v>filas</x:v>
      </x:c>
      <x:c r="E14" s="30" t="str">
        <x:v>5163 − 10 + 5</x:v>
      </x:c>
      <x:c r="F14" s="30" t="str">
        <x:v>Archivo de salida del piloto</x:v>
      </x:c>
      <x:c r="G14" s="30" t="str">
        <x:v>COMPROBADO</x:v>
      </x:c>
      <x:c r="H14" s="2"/>
      <x:c r="I14" s="2"/>
      <x:c r="J14" s="2"/>
      <x:c r="K14" s="2"/>
      <x:c r="L14" s="2"/>
      <x:c r="M14" s="2"/>
      <x:c r="N14" s="2"/>
    </x:row>
    <x:row r="15" ht="44" customHeight="1">
      <x:c r="A15" s="30" t="str">
        <x:v>Filas no objetivo conservadas</x:v>
      </x:c>
      <x:c r="B15" s="30" t="n">
        <x:v>5153</x:v>
      </x:c>
      <x:c r="C15" s="30" t="str">
        <x:v>OK</x:v>
      </x:c>
      <x:c r="D15" s="30" t="str">
        <x:v>filas</x:v>
      </x:c>
      <x:c r="E15" s="30" t="str">
        <x:v>5.153 filas conservadas: valores idénticos; blancos equivalentes.</x:v>
      </x:c>
      <x:c r="F15" s="30" t="str">
        <x:v>Comparación del archivo exportado</x:v>
      </x:c>
      <x:c r="G15" s="30" t="str">
        <x:v>COMPROBADO_EXPORTADO</x:v>
      </x:c>
      <x:c r="H15" s="2"/>
      <x:c r="I15" s="2"/>
      <x:c r="J15" s="2"/>
      <x:c r="K15" s="2"/>
      <x:c r="L15" s="2"/>
      <x:c r="M15" s="2"/>
      <x:c r="N15" s="2"/>
    </x:row>
    <x:row r="16" ht="44" customHeight="1">
      <x:c r="A16" s="30" t="str">
        <x:v>Total MWh balance original</x:v>
      </x:c>
      <x:c r="B16" s="34" t="n">
        <x:v>4112242.365481</x:v>
      </x:c>
      <x:c r="C16" s="30" t="str">
        <x:v>CALCULADO / FUENTE</x:v>
      </x:c>
      <x:c r="D16" s="30" t="str">
        <x:v>MWh</x:v>
      </x:c>
      <x:c r="E16" s="30" t="str">
        <x:v>Todo DATA; mismo universo</x:v>
      </x:c>
      <x:c r="F16" s="30" t="str">
        <x:v>Balance original</x:v>
      </x:c>
      <x:c r="G16" s="30" t="str">
        <x:v>CONTROL_NUMERICO</x:v>
      </x:c>
      <x:c r="H16" s="2"/>
      <x:c r="I16" s="2"/>
      <x:c r="J16" s="2"/>
      <x:c r="K16" s="2"/>
      <x:c r="L16" s="2"/>
      <x:c r="M16" s="2"/>
      <x:c r="N16" s="2"/>
    </x:row>
    <x:row r="17" ht="44" customHeight="1">
      <x:c r="A17" s="30" t="str">
        <x:v>Total MWh balance esperado</x:v>
      </x:c>
      <x:c r="B17" s="34" t="n">
        <x:v>4112242.365481</x:v>
      </x:c>
      <x:c r="C17" s="30" t="str">
        <x:v>CALCULADO / FUENTE</x:v>
      </x:c>
      <x:c r="D17" s="30" t="str">
        <x:v>MWh</x:v>
      </x:c>
      <x:c r="E17" s="30" t="str">
        <x:v>Sólo cambia identidad / agrupación de Pelambres</x:v>
      </x:c>
      <x:c r="F17" s="30" t="str">
        <x:v>Sin adición de energía</x:v>
      </x:c>
      <x:c r="G17" s="30" t="str">
        <x:v>CONTROL_NUMERICO</x:v>
      </x:c>
      <x:c r="H17" s="2"/>
      <x:c r="I17" s="2"/>
      <x:c r="J17" s="2"/>
      <x:c r="K17" s="2"/>
      <x:c r="L17" s="2"/>
      <x:c r="M17" s="2"/>
      <x:c r="N17" s="2"/>
    </x:row>
    <x:row r="18" ht="44" customHeight="1">
      <x:c r="A18" s="30" t="str">
        <x:v>Diferencia total</x:v>
      </x:c>
      <x:c r="B18" s="34" t="n">
        <x:f>B17-B16</x:f>
        <x:v>0</x:v>
      </x:c>
      <x:c r="C18" s="30" t="str">
        <x:f>IF(ABS(B18)&lt;=EVIDENCIA_REGLA!$B$18,"OK","REVISAR")</x:f>
        <x:v>OK</x:v>
      </x:c>
      <x:c r="D18" s="30" t="str">
        <x:v>MWh</x:v>
      </x:c>
      <x:c r="E18" s="30" t="str">
        <x:v>Debe ser cero</x:v>
      </x:c>
      <x:c r="F18" s="30" t="str">
        <x:v>Comparación antes/después</x:v>
      </x:c>
      <x:c r="G18" s="30" t="str">
        <x:v>CONTROL_NUMERICO</x:v>
      </x:c>
      <x:c r="H18" s="2"/>
      <x:c r="I18" s="2"/>
      <x:c r="J18" s="2"/>
      <x:c r="K18" s="2"/>
      <x:c r="L18" s="2"/>
      <x:c r="M18" s="2"/>
      <x:c r="N18" s="2"/>
    </x:row>
    <x:row r="19" ht="44" customHeight="1">
      <x:c r="A19" s="30" t="str">
        <x:v>Identidad desde Sábana</x:v>
      </x:c>
      <x:c r="B19" s="30" t="str">
        <x:v>96790240-3 / MINERA LOS PELAMBRES</x:v>
      </x:c>
      <x:c r="C19" s="30" t="str">
        <x:v>OK</x:v>
      </x:c>
      <x:c r="D19" s="30" t="str">
        <x:v>texto</x:v>
      </x:c>
      <x:c r="E19" s="30" t="str">
        <x:v>Coincide con el balance objetivo</x:v>
      </x:c>
      <x:c r="F19" s="30" t="str">
        <x:v>Sabana_2607(2).xlsx / SABANA filas 2862:2872 y 13690:13700</x:v>
      </x:c>
      <x:c r="G19" s="30" t="str">
        <x:v>COMPROBADO</x:v>
      </x:c>
      <x:c r="H19" s="2"/>
      <x:c r="I19" s="2"/>
      <x:c r="J19" s="2"/>
      <x:c r="K19" s="2"/>
      <x:c r="L19" s="2"/>
      <x:c r="M19" s="2"/>
      <x:c r="N19" s="2"/>
    </x:row>
    <x:row r="20" ht="44" customHeight="1">
      <x:c r="A20" s="30" t="str">
        <x:v>Grupo de dos PC explícito</x:v>
      </x:c>
      <x:c r="B20" s="30" t="str">
        <x:v>96790240_FAM_001</x:v>
      </x:c>
      <x:c r="C20" s="30" t="str">
        <x:v>OK</x:v>
      </x:c>
      <x:c r="D20" s="30" t="str">
        <x:v>grupo</x:v>
      </x:c>
      <x:c r="E20" s="30" t="str">
        <x:v>Filas 222 y 224</x:v>
      </x:c>
      <x:c r="F20" s="30" t="str">
        <x:v>01_BASE_LT_PROPUESTA!V222 y V224</x:v>
      </x:c>
      <x:c r="G20" s="30" t="str">
        <x:v>COMPROBADO</x:v>
      </x:c>
      <x:c r="H20" s="2"/>
      <x:c r="I20" s="2"/>
      <x:c r="J20" s="2"/>
      <x:c r="K20" s="2"/>
      <x:c r="L20" s="2"/>
      <x:c r="M20" s="2"/>
      <x:c r="N20" s="2"/>
    </x:row>
    <x:row r="21" ht="44" customHeight="1">
      <x:c r="A21" s="30" t="str">
        <x:v>Noviembre, composición explícita</x:v>
      </x:c>
      <x:c r="B21" s="30" t="str">
        <x:v>CENTELLA______220, QUILLOTA______220</x:v>
      </x:c>
      <x:c r="C21" s="30" t="str">
        <x:v>OK</x:v>
      </x:c>
      <x:c r="D21" s="30" t="str">
        <x:v>orígenes</x:v>
      </x:c>
      <x:c r="E21" s="30" t="str">
        <x:v>No se infiere desde la lista de una ventana 12M</x:v>
      </x:c>
      <x:c r="F21" s="30" t="str">
        <x:v>LT_GRUPOS_ENERGIA!E7867</x:v>
      </x:c>
      <x:c r="G21" s="30" t="str">
        <x:v>COMPROBADO</x:v>
      </x:c>
      <x:c r="H21" s="2"/>
      <x:c r="I21" s="2"/>
      <x:c r="J21" s="2"/>
      <x:c r="K21" s="2"/>
      <x:c r="L21" s="2"/>
      <x:c r="M21" s="2"/>
      <x:c r="N21" s="2"/>
    </x:row>
    <x:row r="22" ht="44" customHeight="1">
      <x:c r="A22" s="30" t="str">
        <x:v>Mantenedor real de plataforma</x:v>
      </x:c>
      <x:c r="B22" s="30" t="str">
        <x:v>NO MODIFICADO</x:v>
      </x:c>
      <x:c r="C22" s="30" t="str">
        <x:v>PENDIENTE</x:v>
      </x:c>
      <x:c r="D22" s="30" t="str">
        <x:v>estado</x:v>
      </x:c>
      <x:c r="E22" s="30" t="str">
        <x:v>La propuesta está en MANTENEDOR</x:v>
      </x:c>
      <x:c r="F22" s="30" t="str">
        <x:v>Sin acceso/carga realizada</x:v>
      </x:c>
      <x:c r="G22" s="30" t="str">
        <x:v>PENDIENTE_EXTERNO</x:v>
      </x:c>
      <x:c r="H22" s="2"/>
      <x:c r="I22" s="2"/>
      <x:c r="J22" s="2"/>
      <x:c r="K22" s="2"/>
      <x:c r="L22" s="2"/>
      <x:c r="M22" s="2"/>
      <x:c r="N22" s="2"/>
    </x:row>
    <x:row r="23" ht="44" customHeight="1">
      <x:c r="A23" s="30" t="str">
        <x:v>Excel resultado experto</x:v>
      </x:c>
      <x:c r="B23" s="30" t="str">
        <x:v>NO MODIFICADO</x:v>
      </x:c>
      <x:c r="C23" s="30" t="str">
        <x:v>OK</x:v>
      </x:c>
      <x:c r="D23" s="30" t="str">
        <x:v>estado</x:v>
      </x:c>
      <x:c r="E23" s="30" t="str">
        <x:v>Se conserva la deuda de salida M por grupo</x:v>
      </x:c>
      <x:c r="F23" s="30" t="str">
        <x:v>Archivo adjunto usado sólo de lectura</x:v>
      </x:c>
      <x:c r="G23" s="30" t="str">
        <x:v>COMPROBADO</x:v>
      </x:c>
      <x:c r="H23" s="2"/>
      <x:c r="I23" s="2"/>
      <x:c r="J23" s="2"/>
      <x:c r="K23" s="2"/>
      <x:c r="L23" s="2"/>
      <x:c r="M23" s="2"/>
      <x:c r="N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8a6344b79ffd464c"/>
  </x:tableParts>
</x:worksheet>
</file>